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BB462C67-E517-4BE2-BA66-2B98B56B0716}" xr6:coauthVersionLast="47" xr6:coauthVersionMax="47" xr10:uidLastSave="{00000000-0000-0000-0000-000000000000}"/>
  <bookViews>
    <workbookView xWindow="-110" yWindow="-110" windowWidth="19420" windowHeight="10300" activeTab="1" xr2:uid="{00000000-000D-0000-FFFF-FFFF00000000}"/>
  </bookViews>
  <sheets>
    <sheet name="Instructions" sheetId="1" r:id="rId1"/>
    <sheet name="Appraisal Form"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LnNYrbjjbGGWL+eUB0Qq8hs/fNoJDcgUyffwAxrdqnw="/>
    </ext>
  </extLst>
</workbook>
</file>

<file path=xl/calcChain.xml><?xml version="1.0" encoding="utf-8"?>
<calcChain xmlns="http://schemas.openxmlformats.org/spreadsheetml/2006/main">
  <c r="E68" i="2" l="1"/>
  <c r="F72" i="2"/>
  <c r="F70" i="2"/>
  <c r="E70" i="2"/>
  <c r="D70" i="2"/>
  <c r="F69" i="2"/>
  <c r="E69" i="2"/>
  <c r="D69" i="2"/>
  <c r="F68" i="2"/>
  <c r="D68" i="2"/>
  <c r="F66" i="2"/>
  <c r="E66" i="2"/>
  <c r="D66" i="2"/>
  <c r="D67" i="2" s="1"/>
  <c r="D71" i="2" l="1"/>
  <c r="E37" i="2" l="1"/>
  <c r="E44" i="2"/>
  <c r="E53" i="2"/>
  <c r="C44" i="2"/>
  <c r="C37" i="2"/>
  <c r="F61" i="2"/>
  <c r="F60" i="2"/>
  <c r="F59" i="2"/>
  <c r="C53" i="2"/>
  <c r="D20" i="2"/>
  <c r="E67" i="2" s="1"/>
  <c r="E72" i="2" l="1"/>
  <c r="D72" i="2"/>
  <c r="D73" i="2" s="1"/>
  <c r="E54" i="2"/>
  <c r="F71" i="2" s="1"/>
  <c r="F62" i="2"/>
  <c r="F20" i="2"/>
  <c r="F67" i="2" s="1"/>
  <c r="C54" i="2"/>
  <c r="E71" i="2" s="1"/>
  <c r="F73" i="2" l="1"/>
  <c r="F74" i="2" s="1"/>
  <c r="F75" i="2" s="1"/>
  <c r="F76" i="2" s="1"/>
  <c r="E73" i="2"/>
  <c r="E74" i="2" s="1"/>
  <c r="E75" i="2" s="1"/>
  <c r="E76" i="2" s="1"/>
</calcChain>
</file>

<file path=xl/sharedStrings.xml><?xml version="1.0" encoding="utf-8"?>
<sst xmlns="http://schemas.openxmlformats.org/spreadsheetml/2006/main" count="291" uniqueCount="242">
  <si>
    <t xml:space="preserve">Guidelines for Completing Tool for Performance Appraisal and Career Growth of </t>
  </si>
  <si>
    <t>HR – 2024-25</t>
  </si>
  <si>
    <t xml:space="preserve">Overview: </t>
  </si>
  <si>
    <t>Tool for Performance Appraisal and Career Growth of HR serves as a comprehensive framework designed to assess and enhance the performance of employee. By establishing a direct link between performance appraisal and career growth, the tool ensures that individual career paths are strategically aligned with the evolving needs of the organization, fostering a symbiotic relationship between the professional development of employee and the overall success of the company.</t>
  </si>
  <si>
    <t>Purpose:</t>
  </si>
  <si>
    <t xml:space="preserve">The primary purpose of this tool is to systematically evaluate employee’s contributions, skills, and achievements, providing a structured mechanism for performance appraisal. </t>
  </si>
  <si>
    <t>Objective:</t>
  </si>
  <si>
    <t xml:space="preserve">The objectives include identifying and aligning individual goals with organizational objectives, and facilitating career growth. This tool is integral to the career growth plan of HR professionals, as it enables them to receive constructive feedback, set career development goals, and track progress over time. </t>
  </si>
  <si>
    <r>
      <rPr>
        <b/>
        <sz val="10"/>
        <color rgb="FFFFFFFF"/>
        <rFont val="Quattrocento Sans"/>
        <family val="2"/>
      </rPr>
      <t>1.</t>
    </r>
    <r>
      <rPr>
        <b/>
        <sz val="10"/>
        <color rgb="FFFFFFFF"/>
        <rFont val="Times New Roman"/>
        <family val="1"/>
      </rPr>
      <t xml:space="preserve">    </t>
    </r>
    <r>
      <rPr>
        <b/>
        <sz val="10"/>
        <color rgb="FFFFFFFF"/>
        <rFont val="Segoe UI Symbol"/>
        <family val="2"/>
      </rPr>
      <t>Basic Information</t>
    </r>
  </si>
  <si>
    <t>Employee ID</t>
  </si>
  <si>
    <t>To be filled by HR</t>
  </si>
  <si>
    <t>Employee Name</t>
  </si>
  <si>
    <t>To be filled by staff</t>
  </si>
  <si>
    <t xml:space="preserve">Designation: </t>
  </si>
  <si>
    <t>Select using drop down menu</t>
  </si>
  <si>
    <t>Overall Experience:</t>
  </si>
  <si>
    <t>Years with ECI:</t>
  </si>
  <si>
    <t>Required experience as per criteria:</t>
  </si>
  <si>
    <t>Auto appeared when you selected designation</t>
  </si>
  <si>
    <t>Current Education</t>
  </si>
  <si>
    <t>Required Education experience as per criteria:</t>
  </si>
  <si>
    <r>
      <rPr>
        <b/>
        <sz val="10"/>
        <color rgb="FFFFFFFF"/>
        <rFont val="Quattrocento Sans"/>
        <family val="2"/>
      </rPr>
      <t>2.</t>
    </r>
    <r>
      <rPr>
        <b/>
        <sz val="10"/>
        <color rgb="FFFFFFFF"/>
        <rFont val="Times New Roman"/>
        <family val="1"/>
      </rPr>
      <t xml:space="preserve">    </t>
    </r>
    <r>
      <rPr>
        <b/>
        <sz val="10"/>
        <color rgb="FFFFFFFF"/>
        <rFont val="Arial"/>
        <family val="2"/>
      </rPr>
      <t>Key Accomplishments and goals of 2024</t>
    </r>
  </si>
  <si>
    <t>Description of Achievements and Goals:</t>
  </si>
  <si>
    <t>Achievement 1:</t>
  </si>
  <si>
    <t>The accomplishments include the extra and ordinary things done by you. Kindly don't list activities or training you done this year because these are part of your ToRs. These should be quantified, i.e., how many times won EOTM award, how many projects managed at same time, any degree / certification completed related to office job.</t>
  </si>
  <si>
    <t>List down your achievements and goals for this year. Follow given rating criteria:</t>
  </si>
  <si>
    <t>Achievement 2:</t>
  </si>
  <si>
    <t>Achievement 3:</t>
  </si>
  <si>
    <t>Achievement 4:</t>
  </si>
  <si>
    <t>Goal 1:</t>
  </si>
  <si>
    <t>In this section you will mention your achievements against the goals set for this year in the last year annual appraisal. At least 3 goals are mandatory, if these goals are not achieved than for each unachieved goal 3 marks will be deducted from total marks achieved in the performance competencies.</t>
  </si>
  <si>
    <t xml:space="preserve">1) No Achievement-0, </t>
  </si>
  <si>
    <t>Goal 2:</t>
  </si>
  <si>
    <t xml:space="preserve">2) Partial Achievement-1, </t>
  </si>
  <si>
    <t>Goal 3:</t>
  </si>
  <si>
    <t xml:space="preserve">3) Substantial Achievement-2, </t>
  </si>
  <si>
    <t>Goal 4:</t>
  </si>
  <si>
    <t>4) Full Achievement-3</t>
  </si>
  <si>
    <r>
      <rPr>
        <b/>
        <sz val="10"/>
        <color rgb="FFFFFFFF"/>
        <rFont val="Quattrocento Sans"/>
        <family val="2"/>
      </rPr>
      <t>3.</t>
    </r>
    <r>
      <rPr>
        <b/>
        <sz val="10"/>
        <color rgb="FFFFFFFF"/>
        <rFont val="Times New Roman"/>
        <family val="1"/>
      </rPr>
      <t xml:space="preserve">    </t>
    </r>
    <r>
      <rPr>
        <b/>
        <sz val="10"/>
        <color rgb="FFFFFFFF"/>
        <rFont val="Segoe UI Symbol"/>
        <family val="2"/>
      </rPr>
      <t>Assessment of Skillset and Competencies</t>
    </r>
  </si>
  <si>
    <t>Under this section, evaluates the employee's proficiency in technical/soft, leadership and managerial skills. It provides a snapshot of the individual's capabilities, focusing on key job-related competencies. This assessment aids in recognizing strengths, pinpointing areas for improvement, and guiding targeted professional development initiatives to enhance overall performance to the individual.</t>
  </si>
  <si>
    <t>Technical and Soft Skills:</t>
  </si>
  <si>
    <r>
      <rPr>
        <b/>
        <sz val="10"/>
        <color rgb="FF000000"/>
        <rFont val="Quattrocento Sans"/>
        <family val="2"/>
      </rPr>
      <t>Diploma /ToT / Courses</t>
    </r>
    <r>
      <rPr>
        <sz val="10"/>
        <color rgb="FF000000"/>
        <rFont val="Segoe UI Symbol"/>
        <family val="2"/>
      </rPr>
      <t xml:space="preserve"> – any specific degree, diploma or other course added during the year</t>
    </r>
  </si>
  <si>
    <r>
      <rPr>
        <b/>
        <sz val="10"/>
        <color rgb="FF000000"/>
        <rFont val="Quattrocento Sans"/>
        <family val="2"/>
      </rPr>
      <t>Use of ITC Tools</t>
    </r>
    <r>
      <rPr>
        <sz val="10"/>
        <color rgb="FF000000"/>
        <rFont val="Segoe UI Symbol"/>
        <family val="2"/>
      </rPr>
      <t xml:space="preserve"> - The use of ITC tools refers to the application of Information Technology and Communication tools for enhancing efficiency, collaboration, and communication within a given context</t>
    </r>
  </si>
  <si>
    <r>
      <rPr>
        <b/>
        <sz val="10"/>
        <color rgb="FF000000"/>
        <rFont val="Quattrocento Sans"/>
        <family val="2"/>
      </rPr>
      <t>Material development</t>
    </r>
    <r>
      <rPr>
        <sz val="10"/>
        <color rgb="FF000000"/>
        <rFont val="Segoe UI Symbol"/>
        <family val="2"/>
      </rPr>
      <t xml:space="preserve"> – what sort of input given during the development of content, IEC material, policies/processes during the year or developed this skill?</t>
    </r>
  </si>
  <si>
    <r>
      <rPr>
        <b/>
        <sz val="10"/>
        <color rgb="FF000000"/>
        <rFont val="Quattrocento Sans"/>
        <family val="2"/>
      </rPr>
      <t xml:space="preserve">Data search, collection and management - </t>
    </r>
    <r>
      <rPr>
        <sz val="10"/>
        <color rgb="FF000000"/>
        <rFont val="Segoe UI Symbol"/>
        <family val="2"/>
      </rPr>
      <t>Ability to effectively retrieve, gather, and organize relevant information, and efficient workflow across diverse professional roles.</t>
    </r>
  </si>
  <si>
    <r>
      <rPr>
        <b/>
        <sz val="10"/>
        <color rgb="FF000000"/>
        <rFont val="Quattrocento Sans"/>
        <family val="2"/>
      </rPr>
      <t xml:space="preserve">Communication and presentation - </t>
    </r>
    <r>
      <rPr>
        <sz val="10"/>
        <color rgb="FF000000"/>
        <rFont val="Segoe UI Symbol"/>
        <family val="2"/>
      </rPr>
      <t>Ability to communicate clearly and effectively, both verbally and in writing, active listening skills to understand instructions, feedback, and information from colleagues and superiors</t>
    </r>
  </si>
  <si>
    <r>
      <rPr>
        <b/>
        <sz val="10"/>
        <color rgb="FF000000"/>
        <rFont val="Quattrocento Sans"/>
        <family val="2"/>
      </rPr>
      <t xml:space="preserve">Effective communication on WhatsApp, emails etc. - </t>
    </r>
    <r>
      <rPr>
        <sz val="10"/>
        <color rgb="FF000000"/>
        <rFont val="Segoe UI Symbol"/>
        <family val="2"/>
      </rPr>
      <t>Proficiency in effective communication on platforms like WhatsApp and the ability to convey information clearly, concisely, and professionally</t>
    </r>
  </si>
  <si>
    <r>
      <rPr>
        <b/>
        <sz val="10"/>
        <color rgb="FF000000"/>
        <rFont val="Quattrocento Sans"/>
        <family val="2"/>
      </rPr>
      <t>Business mobilization and development</t>
    </r>
    <r>
      <rPr>
        <sz val="10"/>
        <color rgb="FF000000"/>
        <rFont val="Segoe UI Symbol"/>
        <family val="2"/>
      </rPr>
      <t xml:space="preserve"> - Did you played any specific role to business development during last year?</t>
    </r>
  </si>
  <si>
    <r>
      <rPr>
        <b/>
        <sz val="10"/>
        <color rgb="FF000000"/>
        <rFont val="Quattrocento Sans"/>
        <family val="2"/>
      </rPr>
      <t xml:space="preserve">Linkages and relationship management – </t>
    </r>
    <r>
      <rPr>
        <sz val="10"/>
        <color rgb="FF000000"/>
        <rFont val="Segoe UI Symbol"/>
        <family val="2"/>
      </rPr>
      <t>This involves the strategic ability to cultivate and maintain meaningful connections, collaborations, and partnerships, fostering mutually beneficial relationships to support organizational objectives and growth</t>
    </r>
  </si>
  <si>
    <r>
      <rPr>
        <b/>
        <sz val="10"/>
        <color rgb="FF000000"/>
        <rFont val="Quattrocento Sans"/>
        <family val="2"/>
      </rPr>
      <t>Repotting and submission of bills, monthly time sheet and supporting documents etc</t>
    </r>
    <r>
      <rPr>
        <sz val="10"/>
        <color rgb="FF000000"/>
        <rFont val="Segoe UI Symbol"/>
        <family val="2"/>
      </rPr>
      <t>, - Proficient in the meticulous compilation, reporting, and timely submission of bills, monthly timesheets, and associated supporting documents to uphold financial accuracy and compliance</t>
    </r>
  </si>
  <si>
    <r>
      <rPr>
        <b/>
        <sz val="10"/>
        <color rgb="FF000000"/>
        <rFont val="Quattrocento Sans"/>
        <family val="2"/>
      </rPr>
      <t xml:space="preserve">Personal appearance - </t>
    </r>
    <r>
      <rPr>
        <sz val="10"/>
        <color rgb="FF000000"/>
        <rFont val="Segoe UI Symbol"/>
        <family val="2"/>
      </rPr>
      <t>Represents your daily outlook to work, i.e., dressing, neatness, etc.</t>
    </r>
  </si>
  <si>
    <t>Leadership Skills:</t>
  </si>
  <si>
    <r>
      <rPr>
        <b/>
        <sz val="10"/>
        <color rgb="FF000000"/>
        <rFont val="Quattrocento Sans"/>
        <family val="2"/>
      </rPr>
      <t xml:space="preserve">Visionary and long-term thinking - </t>
    </r>
    <r>
      <rPr>
        <sz val="10"/>
        <color rgb="FF000000"/>
        <rFont val="Segoe UI Symbol"/>
        <family val="2"/>
      </rPr>
      <t>Ability to formulate a forward-looking perspective, articulate a compelling vision, and strategically plan for sustained success, anticipating and adapting to future challenges and opportunities.</t>
    </r>
  </si>
  <si>
    <r>
      <rPr>
        <b/>
        <sz val="10"/>
        <color rgb="FF000000"/>
        <rFont val="Quattrocento Sans"/>
        <family val="2"/>
      </rPr>
      <t xml:space="preserve">Team Building, coaching and mentoring - </t>
    </r>
    <r>
      <rPr>
        <sz val="10"/>
        <color rgb="FF000000"/>
        <rFont val="Segoe UI Symbol"/>
        <family val="2"/>
      </rPr>
      <t>Ability to guide and mentor colleagues to enhance their professional development.</t>
    </r>
  </si>
  <si>
    <r>
      <rPr>
        <b/>
        <sz val="10"/>
        <color rgb="FF000000"/>
        <rFont val="Quattrocento Sans"/>
        <family val="2"/>
      </rPr>
      <t xml:space="preserve">Fostering and upholding organizational reputation - </t>
    </r>
    <r>
      <rPr>
        <sz val="10"/>
        <color rgb="FF000000"/>
        <rFont val="Segoe UI Symbol"/>
        <family val="2"/>
      </rPr>
      <t>Ability to strategically manage and enhance the public perception of the organization</t>
    </r>
  </si>
  <si>
    <r>
      <rPr>
        <b/>
        <sz val="10"/>
        <color rgb="FF000000"/>
        <rFont val="Quattrocento Sans"/>
        <family val="2"/>
      </rPr>
      <t xml:space="preserve">Initiative &amp; Creativity - </t>
    </r>
    <r>
      <rPr>
        <sz val="10"/>
        <color rgb="FF000000"/>
        <rFont val="Segoe UI Symbol"/>
        <family val="2"/>
      </rPr>
      <t>Willingness to take on tasks and projects without needing to be prompted</t>
    </r>
  </si>
  <si>
    <r>
      <rPr>
        <b/>
        <sz val="10"/>
        <color rgb="FF000000"/>
        <rFont val="Quattrocento Sans"/>
        <family val="2"/>
      </rPr>
      <t xml:space="preserve">Adaptability &amp; Flexibility - </t>
    </r>
    <r>
      <rPr>
        <sz val="10"/>
        <color rgb="FF000000"/>
        <rFont val="Segoe UI Symbol"/>
        <family val="2"/>
      </rPr>
      <t>Capacity to adapt to changes in the work environment and adjust to new tasks or challenges. Flexibility in handling different responsibilities and willingness to learn new skills.</t>
    </r>
  </si>
  <si>
    <t>Managerial Skills:</t>
  </si>
  <si>
    <r>
      <rPr>
        <b/>
        <sz val="10"/>
        <color rgb="FF000000"/>
        <rFont val="Quattrocento Sans"/>
        <family val="2"/>
      </rPr>
      <t>Planning and organizing</t>
    </r>
    <r>
      <rPr>
        <sz val="10"/>
        <color rgb="FF000000"/>
        <rFont val="Segoe UI Symbol"/>
        <family val="2"/>
      </rPr>
      <t xml:space="preserve"> - Ability to set clear objectives, develop comprehensive plans, allocate resources efficiently, and coordinate tasks effectively to achieve goals in an orderly and structured manner</t>
    </r>
  </si>
  <si>
    <r>
      <rPr>
        <b/>
        <sz val="10"/>
        <color rgb="FF000000"/>
        <rFont val="Quattrocento Sans"/>
        <family val="2"/>
      </rPr>
      <t>Project implementation</t>
    </r>
    <r>
      <rPr>
        <sz val="10"/>
        <color rgb="FF000000"/>
        <rFont val="Segoe UI Symbol"/>
        <family val="2"/>
      </rPr>
      <t xml:space="preserve"> – This involves the adept execution and management of all phases of a project, ensuring effective coordination, resource utilization, and timely delivery of outcomes according to specified goals and objectives.</t>
    </r>
  </si>
  <si>
    <r>
      <rPr>
        <b/>
        <sz val="10"/>
        <color rgb="FF000000"/>
        <rFont val="Quattrocento Sans"/>
        <family val="2"/>
      </rPr>
      <t>Productivity in terms of quality and quantity</t>
    </r>
    <r>
      <rPr>
        <sz val="10"/>
        <color rgb="FF000000"/>
        <rFont val="Segoe UI Symbol"/>
        <family val="2"/>
      </rPr>
      <t xml:space="preserve"> - Consistently delivering high-quality work with attention to detail.</t>
    </r>
  </si>
  <si>
    <r>
      <rPr>
        <b/>
        <sz val="10"/>
        <color rgb="FF000000"/>
        <rFont val="Quattrocento Sans"/>
        <family val="2"/>
      </rPr>
      <t>Utilization of Resources</t>
    </r>
    <r>
      <rPr>
        <sz val="10"/>
        <color rgb="FF000000"/>
        <rFont val="Segoe UI Symbol"/>
        <family val="2"/>
      </rPr>
      <t xml:space="preserve"> - Represents how well a team member has utilized resources in terms of project implementation, asset management, use of office resources, use of utilities, etc.</t>
    </r>
  </si>
  <si>
    <r>
      <rPr>
        <b/>
        <sz val="10"/>
        <color rgb="FF000000"/>
        <rFont val="Quattrocento Sans"/>
        <family val="2"/>
      </rPr>
      <t xml:space="preserve">Monitoring and controlling – </t>
    </r>
    <r>
      <rPr>
        <sz val="10"/>
        <color rgb="FF000000"/>
        <rFont val="Segoe UI Symbol"/>
        <family val="2"/>
      </rPr>
      <t>This involves the systematic oversight and regulation of ongoing processes, projects, or tasks, ensuring adherence to plans, identifying deviations, and implementing corrective measures to optimize performance and achieve desired outcomes</t>
    </r>
  </si>
  <si>
    <r>
      <rPr>
        <b/>
        <sz val="10"/>
        <color rgb="FF000000"/>
        <rFont val="Quattrocento Sans"/>
        <family val="2"/>
      </rPr>
      <t>Decision making and problem solving</t>
    </r>
    <r>
      <rPr>
        <sz val="10"/>
        <color rgb="FF000000"/>
        <rFont val="Segoe UI Symbol"/>
        <family val="2"/>
      </rPr>
      <t xml:space="preserve"> - Capability to analyze problems, identify solutions, and make informed decisions </t>
    </r>
  </si>
  <si>
    <r>
      <rPr>
        <b/>
        <sz val="10"/>
        <color rgb="FF000000"/>
        <rFont val="Quattrocento Sans"/>
        <family val="2"/>
      </rPr>
      <t>Time management and instant response</t>
    </r>
    <r>
      <rPr>
        <sz val="10"/>
        <color rgb="FF000000"/>
        <rFont val="Segoe UI Symbol"/>
        <family val="2"/>
      </rPr>
      <t xml:space="preserve"> - Efficient use of time to prioritize tasks and meet deadlines and instant response on the assigned tasks.</t>
    </r>
  </si>
  <si>
    <r>
      <rPr>
        <b/>
        <sz val="10"/>
        <color rgb="FFFFFFFF"/>
        <rFont val="Quattrocento Sans"/>
        <family val="2"/>
      </rPr>
      <t xml:space="preserve">RATING SCALE </t>
    </r>
    <r>
      <rPr>
        <sz val="10"/>
        <color rgb="FFFFFFFF"/>
        <rFont val="Jameel Noori Nastaleeq"/>
      </rPr>
      <t>نمبر لگانے کا معیار</t>
    </r>
  </si>
  <si>
    <r>
      <rPr>
        <b/>
        <sz val="10"/>
        <color rgb="FF000000"/>
        <rFont val="Quattrocento Sans"/>
        <family val="2"/>
      </rPr>
      <t>Greatly exceeds</t>
    </r>
    <r>
      <rPr>
        <sz val="10"/>
        <color rgb="FF000000"/>
        <rFont val="Segoe UI Symbol"/>
        <family val="2"/>
      </rPr>
      <t xml:space="preserve"> job all requirement</t>
    </r>
  </si>
  <si>
    <t>86 – 100 %</t>
  </si>
  <si>
    <r>
      <rPr>
        <b/>
        <sz val="10"/>
        <color rgb="FF000000"/>
        <rFont val="Quattrocento Sans"/>
        <family val="2"/>
      </rPr>
      <t>Exceeds</t>
    </r>
    <r>
      <rPr>
        <sz val="10"/>
        <color rgb="FF000000"/>
        <rFont val="Segoe UI Symbol"/>
        <family val="2"/>
      </rPr>
      <t xml:space="preserve"> all job requirements</t>
    </r>
  </si>
  <si>
    <t>71 – 86 %</t>
  </si>
  <si>
    <r>
      <rPr>
        <b/>
        <sz val="10"/>
        <color rgb="FF000000"/>
        <rFont val="Quattrocento Sans"/>
        <family val="2"/>
      </rPr>
      <t xml:space="preserve">Meets </t>
    </r>
    <r>
      <rPr>
        <sz val="10"/>
        <color rgb="FF000000"/>
        <rFont val="Segoe UI Symbol"/>
        <family val="2"/>
      </rPr>
      <t>all job requirements</t>
    </r>
  </si>
  <si>
    <t>56 – 70 %</t>
  </si>
  <si>
    <r>
      <rPr>
        <b/>
        <sz val="10"/>
        <color rgb="FF000000"/>
        <rFont val="Quattrocento Sans"/>
        <family val="2"/>
      </rPr>
      <t>Occasionally meets</t>
    </r>
    <r>
      <rPr>
        <sz val="10"/>
        <color rgb="FF000000"/>
        <rFont val="Segoe UI Symbol"/>
        <family val="2"/>
      </rPr>
      <t xml:space="preserve"> all job requirements</t>
    </r>
  </si>
  <si>
    <t>41 – 55 %</t>
  </si>
  <si>
    <r>
      <rPr>
        <b/>
        <sz val="10"/>
        <color rgb="FF000000"/>
        <rFont val="Quattrocento Sans"/>
        <family val="2"/>
      </rPr>
      <t>Fails to meet</t>
    </r>
    <r>
      <rPr>
        <sz val="10"/>
        <color rgb="FF000000"/>
        <rFont val="Segoe UI Symbol"/>
        <family val="2"/>
      </rPr>
      <t xml:space="preserve"> all</t>
    </r>
    <r>
      <rPr>
        <b/>
        <sz val="10"/>
        <color rgb="FF000000"/>
        <rFont val="Segoe UI Symbol"/>
        <family val="2"/>
      </rPr>
      <t xml:space="preserve"> </t>
    </r>
    <r>
      <rPr>
        <sz val="10"/>
        <color rgb="FF000000"/>
        <rFont val="Segoe UI Symbol"/>
        <family val="2"/>
      </rPr>
      <t>job requirements</t>
    </r>
  </si>
  <si>
    <t xml:space="preserve">  0 – 40 %</t>
  </si>
  <si>
    <r>
      <rPr>
        <b/>
        <sz val="10"/>
        <color rgb="FFFFFFFF"/>
        <rFont val="Quattrocento Sans"/>
        <family val="2"/>
      </rPr>
      <t>4.</t>
    </r>
    <r>
      <rPr>
        <b/>
        <sz val="10"/>
        <color rgb="FFFFFFFF"/>
        <rFont val="Times New Roman"/>
        <family val="1"/>
      </rPr>
      <t xml:space="preserve">    </t>
    </r>
    <r>
      <rPr>
        <b/>
        <sz val="10"/>
        <color rgb="FFFFFFFF"/>
        <rFont val="Segoe UI Symbol"/>
        <family val="2"/>
      </rPr>
      <t>Notice/Explanation Called</t>
    </r>
  </si>
  <si>
    <t>This section contains the details of Notices / Explanation calls issued to staff and their status either these are resolved or still pending. if not resolved then maximum 3 numbers will be minus against each explanation</t>
  </si>
  <si>
    <r>
      <rPr>
        <b/>
        <sz val="10"/>
        <color rgb="FFFFFFFF"/>
        <rFont val="Quattrocento Sans"/>
        <family val="2"/>
      </rPr>
      <t>5.</t>
    </r>
    <r>
      <rPr>
        <b/>
        <sz val="10"/>
        <color rgb="FFFFFFFF"/>
        <rFont val="Times New Roman"/>
        <family val="1"/>
      </rPr>
      <t xml:space="preserve">    </t>
    </r>
    <r>
      <rPr>
        <b/>
        <sz val="10"/>
        <color rgb="FFFFFFFF"/>
        <rFont val="Segoe UI Symbol"/>
        <family val="2"/>
      </rPr>
      <t>Overall Performance Evaluation</t>
    </r>
  </si>
  <si>
    <t>Description</t>
  </si>
  <si>
    <t>Rating</t>
  </si>
  <si>
    <t>Employee</t>
  </si>
  <si>
    <t>Line manager/HR</t>
  </si>
  <si>
    <t>Total of Skillset and Competencies</t>
  </si>
  <si>
    <r>
      <rPr>
        <sz val="10"/>
        <color theme="1"/>
        <rFont val="Quattrocento Sans"/>
        <family val="2"/>
      </rPr>
      <t>Skillset and Competencies</t>
    </r>
    <r>
      <rPr>
        <sz val="10"/>
        <color rgb="FF000000"/>
        <rFont val="Segoe UI Symbol"/>
        <family val="2"/>
      </rPr>
      <t xml:space="preserve"> Marks Obtained</t>
    </r>
  </si>
  <si>
    <t xml:space="preserve">(-) Total of Goals Deficiencies </t>
  </si>
  <si>
    <t xml:space="preserve">(-) Marks deducted because of explanations </t>
  </si>
  <si>
    <r>
      <rPr>
        <sz val="10"/>
        <color rgb="FF000000"/>
        <rFont val="Quattrocento Sans"/>
        <family val="2"/>
      </rPr>
      <t xml:space="preserve">Grand Total: </t>
    </r>
    <r>
      <rPr>
        <sz val="10"/>
        <color theme="1"/>
        <rFont val="Segoe UI Symbol"/>
        <family val="2"/>
      </rPr>
      <t>Skillset and Competencies,</t>
    </r>
    <r>
      <rPr>
        <sz val="10"/>
        <color rgb="FF000000"/>
        <rFont val="Segoe UI Symbol"/>
        <family val="2"/>
      </rPr>
      <t xml:space="preserve"> Goals partially or not achieved (-) Explanations (filled by HR)</t>
    </r>
  </si>
  <si>
    <t>Overall Marks</t>
  </si>
  <si>
    <t>Overall Performance % age</t>
  </si>
  <si>
    <t>RATING SCALE</t>
  </si>
  <si>
    <r>
      <rPr>
        <b/>
        <sz val="10"/>
        <color rgb="FFFFFFFF"/>
        <rFont val="Quattrocento Sans"/>
        <family val="2"/>
      </rPr>
      <t>6.</t>
    </r>
    <r>
      <rPr>
        <b/>
        <sz val="10"/>
        <color rgb="FFFFFFFF"/>
        <rFont val="Times New Roman"/>
        <family val="1"/>
      </rPr>
      <t xml:space="preserve">    </t>
    </r>
    <r>
      <rPr>
        <b/>
        <sz val="10"/>
        <color rgb="FFFFFFFF"/>
        <rFont val="Arial"/>
        <family val="2"/>
      </rPr>
      <t>Goals for 2025 (Professional and Personal)</t>
    </r>
  </si>
  <si>
    <t>Setting goals for the next year in your performance appraisal is a crucial step for your personal and professional growth and aligning your efforts with the organization's strategic objectives. In this section you will set your goals for the next year, minimum 3 goals are mandatory, maximum 5 goals can be added in this section.</t>
  </si>
  <si>
    <r>
      <rPr>
        <b/>
        <sz val="10"/>
        <color rgb="FFFFFFFF"/>
        <rFont val="Quattrocento Sans"/>
        <family val="2"/>
      </rPr>
      <t>7.</t>
    </r>
    <r>
      <rPr>
        <b/>
        <sz val="10"/>
        <color rgb="FFFFFFFF"/>
        <rFont val="Times New Roman"/>
        <family val="1"/>
      </rPr>
      <t xml:space="preserve">    </t>
    </r>
    <r>
      <rPr>
        <b/>
        <sz val="10"/>
        <color rgb="FFFFFFFF"/>
        <rFont val="Segoe UI Symbol"/>
        <family val="2"/>
      </rPr>
      <t>Remarks on Employee’s Performance (Mandatory)</t>
    </r>
  </si>
  <si>
    <t>The HR and supervisor remarks sections are critical components that provide valuable insights into your professional career. HR and supervisor remarks about staff job-related accomplishments and areas for improvement, skillset level, behavior, performances and recommendation for mentoring support, promotions, increments and award/rewards.</t>
  </si>
  <si>
    <t>Pay close attention to these remarks as they not only acknowledge your achievements but also highlight opportunities for growth. Use this feedback constructively to refine your skills and foster continuous improvement in your professional journey.</t>
  </si>
  <si>
    <r>
      <rPr>
        <b/>
        <sz val="10"/>
        <color rgb="FFFFFFFF"/>
        <rFont val="Quattrocento Sans"/>
        <family val="2"/>
      </rPr>
      <t>8.</t>
    </r>
    <r>
      <rPr>
        <b/>
        <sz val="10"/>
        <color rgb="FFFFFFFF"/>
        <rFont val="Times New Roman"/>
        <family val="1"/>
      </rPr>
      <t xml:space="preserve">    </t>
    </r>
    <r>
      <rPr>
        <b/>
        <sz val="10"/>
        <color rgb="FFFFFFFF"/>
        <rFont val="Segoe UI Symbol"/>
        <family val="2"/>
      </rPr>
      <t>Certification</t>
    </r>
  </si>
  <si>
    <t>Employee's Signature and Date:</t>
  </si>
  <si>
    <t>HR/Supervisors’ Signature and Date:</t>
  </si>
  <si>
    <t>CEO's Signature and Date:</t>
  </si>
  <si>
    <t>Program</t>
  </si>
  <si>
    <t>Program Manager</t>
  </si>
  <si>
    <t>MA/MSc, MS Project Management or Other Specialization</t>
  </si>
  <si>
    <t>1. Basic Information</t>
  </si>
  <si>
    <t>Administration</t>
  </si>
  <si>
    <t>Manager Projects</t>
  </si>
  <si>
    <t>10 years</t>
  </si>
  <si>
    <t>Finance</t>
  </si>
  <si>
    <t>Assistant Manager Projects</t>
  </si>
  <si>
    <t>MA/MSc, Specialization</t>
  </si>
  <si>
    <t>7-8 years</t>
  </si>
  <si>
    <t>Designation</t>
  </si>
  <si>
    <t>Overall Experience</t>
  </si>
  <si>
    <t>Business Development</t>
  </si>
  <si>
    <t>Program Officer</t>
  </si>
  <si>
    <t>BA/BSc in Relevant Subjects, BBA</t>
  </si>
  <si>
    <t>4-5 years</t>
  </si>
  <si>
    <t>Years with ECI</t>
  </si>
  <si>
    <t>Required Experience</t>
  </si>
  <si>
    <t>Digital Design Unit</t>
  </si>
  <si>
    <t>Assistant Manager Material Design/Unit Lead</t>
  </si>
  <si>
    <t>BA/BSc or Related Field</t>
  </si>
  <si>
    <t>Required Education</t>
  </si>
  <si>
    <t>Communication</t>
  </si>
  <si>
    <t>Graphic Designer</t>
  </si>
  <si>
    <t>FA or BA in Designing or Related Field</t>
  </si>
  <si>
    <t>Assistant Manager Communications &amp; Reporting</t>
  </si>
  <si>
    <t>MA/MSc, Mass communications/Specialization</t>
  </si>
  <si>
    <t>List down your achievements and goals for this year. Follow given rating criteria: 1) No Achievement=0, 2) Partial Achievement=1, 3) Substantial Achievement=2, 4) Full Achievement=3</t>
  </si>
  <si>
    <t>MA/MSc or BSc/BA in Marketing, Communications or BD</t>
  </si>
  <si>
    <t>Description of Achievements and Goals</t>
  </si>
  <si>
    <t>Line Manager</t>
  </si>
  <si>
    <t>Assistant Manager Accounts</t>
  </si>
  <si>
    <t>Bachelor's in Finance, Accounting or Related Field</t>
  </si>
  <si>
    <t>Admin/Logistics Officer</t>
  </si>
  <si>
    <t>MA/MSc, BA/BSc or BBA in Relevant Subjects</t>
  </si>
  <si>
    <t>Front Desk Officer</t>
  </si>
  <si>
    <t>FA/FSc, A Levels or Above</t>
  </si>
  <si>
    <t>1-2 years</t>
  </si>
  <si>
    <t>Office Boy/Assistant</t>
  </si>
  <si>
    <t>Primary/Middle</t>
  </si>
  <si>
    <t>Sub Total</t>
  </si>
  <si>
    <t>Skills and Competencies</t>
  </si>
  <si>
    <t>Diploma /ToT / Courses</t>
  </si>
  <si>
    <t>Use of IT Tools</t>
  </si>
  <si>
    <t xml:space="preserve">Content/Material Development </t>
  </si>
  <si>
    <t>Data Search, Collection and Management</t>
  </si>
  <si>
    <t xml:space="preserve">Communication and Presentation </t>
  </si>
  <si>
    <t>Effective Communication on WhatsApp, Emails etc.</t>
  </si>
  <si>
    <t>Business Mobilization and Development</t>
  </si>
  <si>
    <t>Linkages and Relationship Management</t>
  </si>
  <si>
    <t>Reporting and Submission of Bills, Task Sheet, Supporting Documents etc.</t>
  </si>
  <si>
    <t>Personal Appearance</t>
  </si>
  <si>
    <t>Sub-total of Technical Skills</t>
  </si>
  <si>
    <t>Visionary and Long-Term Thinking</t>
  </si>
  <si>
    <t>Team Building, Coaching and Mentoring</t>
  </si>
  <si>
    <t>Fostering and Upholding Organizational Reputation</t>
  </si>
  <si>
    <t>Initiative &amp; Creativity</t>
  </si>
  <si>
    <t>Adaptability &amp; Flexibility</t>
  </si>
  <si>
    <t>Sub-total of Leadership Skills</t>
  </si>
  <si>
    <t>Planning and Organizing</t>
  </si>
  <si>
    <t>Project Implementation</t>
  </si>
  <si>
    <t>Productivity In Terms of Quality and Quantity</t>
  </si>
  <si>
    <t>Utilization of Resources</t>
  </si>
  <si>
    <t>Monitoring and Controlling</t>
  </si>
  <si>
    <t>Decision Making and Problem Solving</t>
  </si>
  <si>
    <t>Time Management and Instant Response</t>
  </si>
  <si>
    <t>Sub-total Managerial Skills</t>
  </si>
  <si>
    <t>Total</t>
  </si>
  <si>
    <t>Notice/Explanation called (in writing or verbal) during the year? if not resolved then maximum 3 numbers will be minus against each explanation. Rating by HR 1-3 against each explanation.</t>
  </si>
  <si>
    <t>Notice/Explanation</t>
  </si>
  <si>
    <t>Explain If Issue Resolved</t>
  </si>
  <si>
    <t>*To Be Filled HR</t>
  </si>
  <si>
    <t>HR Remarks</t>
  </si>
  <si>
    <t>Category</t>
  </si>
  <si>
    <t>Explanation-1:</t>
  </si>
  <si>
    <t>Explanation-2:</t>
  </si>
  <si>
    <t>Explanation-3:</t>
  </si>
  <si>
    <t>Total Marks Deducted</t>
  </si>
  <si>
    <t>Maximum Marks</t>
  </si>
  <si>
    <t>Total NA in Goals &amp; Achievements</t>
  </si>
  <si>
    <t>Total Marks of Goals &amp; Achievements:</t>
  </si>
  <si>
    <t>Total NA in Technical &amp; Soft Skills</t>
  </si>
  <si>
    <t>Total NA in Leadership Skills</t>
  </si>
  <si>
    <t>Total NA in Managerial Skills</t>
  </si>
  <si>
    <t>Total Of Skillset and Competencies:</t>
  </si>
  <si>
    <t>Total NA in Explanations</t>
  </si>
  <si>
    <t>Marks Deducted Because Of Explanations (-):</t>
  </si>
  <si>
    <t>Grand Total:</t>
  </si>
  <si>
    <t>Overall Performance %:</t>
  </si>
  <si>
    <t>Rating Scale:</t>
  </si>
  <si>
    <t>Quarter (tick fall under which quarter)</t>
  </si>
  <si>
    <t>Quarter 1</t>
  </si>
  <si>
    <t>Quarter 2</t>
  </si>
  <si>
    <t>Quarter 3</t>
  </si>
  <si>
    <t>Quarter 4</t>
  </si>
  <si>
    <t>7. Remarks on Employee’s Performance (Mandatory)</t>
  </si>
  <si>
    <t>Details</t>
  </si>
  <si>
    <t>Yes/No</t>
  </si>
  <si>
    <t>Remarks</t>
  </si>
  <si>
    <t>By HR</t>
  </si>
  <si>
    <t>Satisfaction About Skills</t>
  </si>
  <si>
    <t>Satisfaction About Behavior</t>
  </si>
  <si>
    <t>Satisfaction About Performance</t>
  </si>
  <si>
    <t>Recommendation For Close Monitoring</t>
  </si>
  <si>
    <t>Recommendation For Promotion</t>
  </si>
  <si>
    <t>Recommendation For Reward And Award</t>
  </si>
  <si>
    <t>By Supervisor or Line Manager</t>
  </si>
  <si>
    <t>Satisfaction About Practices &amp; Performance</t>
  </si>
  <si>
    <t>Consideration For Promotion</t>
  </si>
  <si>
    <t>Consideration For Increment</t>
  </si>
  <si>
    <t>Consideration For Reward And Award</t>
  </si>
  <si>
    <t>8. Certification</t>
  </si>
  <si>
    <t>Supervisors’ Signature and Date:</t>
  </si>
  <si>
    <t>Tool for Performance Appraisal and Career Growth of HR – 2025-26</t>
  </si>
  <si>
    <t>2. Key Accomplishments and goals of 2025</t>
  </si>
  <si>
    <t>Plans/Goals for 2026 (minimum 3 to be listed)</t>
  </si>
  <si>
    <t>6. Goals for 2026 (Professional and Personal)</t>
  </si>
  <si>
    <t>Department</t>
  </si>
  <si>
    <t>Appraisal Perion (From/To)</t>
  </si>
  <si>
    <t>Line Manager/ Supervisor Name</t>
  </si>
  <si>
    <t>Line Manager/ Supervisor Designation</t>
  </si>
  <si>
    <t>3. Assessment of Skillset and Competencies (Technical, Leadership, Managerial)</t>
  </si>
  <si>
    <t>5. Overall Performance Evaluation (Grand total, % and Rating Scale)</t>
  </si>
  <si>
    <t>4. Notices / Explanations (Disciplinary or Performance-Related)</t>
  </si>
  <si>
    <t>Rating Scale: 1 = Needs Improvement, 2 = Partially Meets Expectations, 3 = Meets Expectations, 4 = Exceeds Expectations, 5 = Greatly Exceeds Expectations, NA = Not Applicable.</t>
  </si>
  <si>
    <t>To be filled by Employee and finalized with Line Manager</t>
  </si>
  <si>
    <t>14 years</t>
  </si>
  <si>
    <t>5-7 years</t>
  </si>
  <si>
    <t>Communication/BD Officer</t>
  </si>
  <si>
    <t>3-4 years</t>
  </si>
  <si>
    <t>Sr. Manager Admin/HR &amp; Accounts</t>
  </si>
  <si>
    <t>MA / MSc / MBA or other specialization</t>
  </si>
  <si>
    <t>Sr. Finance Officer</t>
  </si>
  <si>
    <t xml:space="preserve">B.com / B.Sc. Accounting and Finance or a related field is desired </t>
  </si>
  <si>
    <t>5-6 years</t>
  </si>
  <si>
    <t>Senior Admin/HR/Logistics Officer</t>
  </si>
  <si>
    <t>MA / MSc OR BA / BSc or BBA in relevant subjects</t>
  </si>
  <si>
    <t>2-3 years</t>
  </si>
  <si>
    <r>
      <rPr>
        <b/>
        <sz val="14"/>
        <color theme="1"/>
        <rFont val="Calibri"/>
        <family val="2"/>
        <scheme val="minor"/>
      </rPr>
      <t xml:space="preserve">Note: </t>
    </r>
    <r>
      <rPr>
        <sz val="14"/>
        <color theme="1"/>
        <rFont val="Calibri"/>
        <family val="2"/>
        <scheme val="minor"/>
      </rPr>
      <t>The accomplishments include the extra and ordinary things done by you. Kindly don't list activities or training you done this year because these are part of your ToRs. These should be quantified, how many times won EOTM award, how many projects managed at same time, any degree / certification completed related to office job.</t>
    </r>
  </si>
  <si>
    <r>
      <rPr>
        <b/>
        <sz val="14"/>
        <color theme="1"/>
        <rFont val="Calibri"/>
        <family val="2"/>
        <scheme val="minor"/>
      </rPr>
      <t>General Remarks by HR:</t>
    </r>
    <r>
      <rPr>
        <sz val="14"/>
        <color theme="1"/>
        <rFont val="Calibri"/>
        <family val="2"/>
        <scheme val="minor"/>
      </rPr>
      <t xml:space="preserve">
</t>
    </r>
    <r>
      <rPr>
        <i/>
        <sz val="14"/>
        <color theme="1"/>
        <rFont val="Calibri"/>
        <family val="2"/>
        <scheme val="minor"/>
      </rPr>
      <t>(From the improvement plan)</t>
    </r>
  </si>
  <si>
    <r>
      <rPr>
        <b/>
        <sz val="14"/>
        <color theme="1"/>
        <rFont val="Calibri"/>
        <family val="2"/>
        <scheme val="minor"/>
      </rPr>
      <t>General Remarks by Supervisor:</t>
    </r>
    <r>
      <rPr>
        <sz val="14"/>
        <color theme="1"/>
        <rFont val="Calibri"/>
        <family val="2"/>
        <scheme val="minor"/>
      </rPr>
      <t xml:space="preserve">
</t>
    </r>
    <r>
      <rPr>
        <i/>
        <sz val="14"/>
        <color theme="1"/>
        <rFont val="Calibri"/>
        <family val="2"/>
        <scheme val="minor"/>
      </rPr>
      <t>(If Any)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</si>
</sst>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scheme val="minor"/>
    </font>
    <font>
      <b/>
      <sz val="13"/>
      <color theme="0"/>
      <name val="Quattrocento Sans"/>
      <family val="2"/>
    </font>
    <font>
      <sz val="11"/>
      <name val="Calibri"/>
      <family val="2"/>
    </font>
    <font>
      <b/>
      <sz val="10"/>
      <color rgb="FF000000"/>
      <name val="Quattrocento Sans"/>
      <family val="2"/>
    </font>
    <font>
      <sz val="10"/>
      <color rgb="FF000000"/>
      <name val="Quattrocento Sans"/>
      <family val="2"/>
    </font>
    <font>
      <b/>
      <sz val="10"/>
      <color rgb="FFFFFFFF"/>
      <name val="Quattrocento Sans"/>
      <family val="2"/>
    </font>
    <font>
      <sz val="11"/>
      <color theme="1"/>
      <name val="Calibri"/>
      <family val="2"/>
    </font>
    <font>
      <sz val="10"/>
      <color theme="1"/>
      <name val="Quattrocento Sans"/>
      <family val="2"/>
    </font>
    <font>
      <sz val="11"/>
      <color theme="1"/>
      <name val="Quattrocento Sans"/>
      <family val="2"/>
    </font>
    <font>
      <b/>
      <sz val="13"/>
      <color theme="0"/>
      <name val="Calibri"/>
      <family val="2"/>
    </font>
    <font>
      <sz val="12"/>
      <color theme="1"/>
      <name val="Calibri"/>
      <family val="2"/>
    </font>
    <font>
      <b/>
      <sz val="11"/>
      <color theme="1"/>
      <name val="Calibri"/>
      <family val="2"/>
    </font>
    <font>
      <b/>
      <sz val="10"/>
      <color rgb="FFFFFFFF"/>
      <name val="Times New Roman"/>
      <family val="1"/>
    </font>
    <font>
      <b/>
      <sz val="10"/>
      <color rgb="FFFFFFFF"/>
      <name val="Segoe UI Symbol"/>
      <family val="2"/>
    </font>
    <font>
      <b/>
      <sz val="10"/>
      <color rgb="FFFFFFFF"/>
      <name val="Arial"/>
      <family val="2"/>
    </font>
    <font>
      <sz val="10"/>
      <color rgb="FF000000"/>
      <name val="Segoe UI Symbol"/>
      <family val="2"/>
    </font>
    <font>
      <sz val="10"/>
      <color rgb="FFFFFFFF"/>
      <name val="Jameel Noori Nastaleeq"/>
    </font>
    <font>
      <b/>
      <sz val="10"/>
      <color rgb="FF000000"/>
      <name val="Segoe UI Symbol"/>
      <family val="2"/>
    </font>
    <font>
      <sz val="10"/>
      <color theme="1"/>
      <name val="Segoe UI Symbol"/>
      <family val="2"/>
    </font>
    <font>
      <b/>
      <sz val="13"/>
      <color theme="1"/>
      <name val="Quattrocento Sans"/>
      <family val="2"/>
    </font>
    <font>
      <b/>
      <sz val="14"/>
      <color theme="1"/>
      <name val="Calibri"/>
      <family val="2"/>
      <scheme val="minor"/>
    </font>
    <font>
      <b/>
      <sz val="14"/>
      <name val="Calibri"/>
      <family val="2"/>
      <scheme val="minor"/>
    </font>
    <font>
      <sz val="14"/>
      <color theme="1"/>
      <name val="Calibri"/>
      <family val="2"/>
      <scheme val="minor"/>
    </font>
    <font>
      <sz val="14"/>
      <name val="Calibri"/>
      <family val="2"/>
      <scheme val="minor"/>
    </font>
    <font>
      <sz val="14"/>
      <color rgb="FF000000"/>
      <name val="Calibri"/>
      <family val="2"/>
      <scheme val="minor"/>
    </font>
    <font>
      <i/>
      <sz val="14"/>
      <color theme="1"/>
      <name val="Calibri"/>
      <family val="2"/>
      <scheme val="minor"/>
    </font>
    <font>
      <b/>
      <sz val="11"/>
      <color rgb="FFFF0000"/>
      <name val="Calibri"/>
      <family val="2"/>
    </font>
    <font>
      <b/>
      <sz val="14"/>
      <color rgb="FFFF0000"/>
      <name val="Calibri"/>
      <family val="2"/>
      <scheme val="minor"/>
    </font>
  </fonts>
  <fills count="16">
    <fill>
      <patternFill patternType="none"/>
    </fill>
    <fill>
      <patternFill patternType="gray125"/>
    </fill>
    <fill>
      <patternFill patternType="solid">
        <fgColor rgb="FFF2F2F2"/>
        <bgColor rgb="FFF2F2F2"/>
      </patternFill>
    </fill>
    <fill>
      <patternFill patternType="solid">
        <fgColor rgb="FFFFFFFF"/>
        <bgColor rgb="FFFFFFFF"/>
      </patternFill>
    </fill>
    <fill>
      <patternFill patternType="solid">
        <fgColor rgb="FF548135"/>
        <bgColor rgb="FF548135"/>
      </patternFill>
    </fill>
    <fill>
      <patternFill patternType="solid">
        <fgColor rgb="FFA8D08D"/>
        <bgColor rgb="FFA8D08D"/>
      </patternFill>
    </fill>
    <fill>
      <patternFill patternType="solid">
        <fgColor rgb="FFE2EFD9"/>
        <bgColor rgb="FFE2EFD9"/>
      </patternFill>
    </fill>
    <fill>
      <patternFill patternType="solid">
        <fgColor theme="9" tint="-0.249977111117893"/>
        <bgColor rgb="FF1F3864"/>
      </patternFill>
    </fill>
    <fill>
      <patternFill patternType="solid">
        <fgColor theme="9" tint="-0.249977111117893"/>
        <bgColor indexed="64"/>
      </patternFill>
    </fill>
    <fill>
      <patternFill patternType="solid">
        <fgColor theme="9" tint="0.39997558519241921"/>
        <bgColor rgb="FF1F3864"/>
      </patternFill>
    </fill>
    <fill>
      <patternFill patternType="solid">
        <fgColor theme="9" tint="0.39997558519241921"/>
        <bgColor indexed="64"/>
      </patternFill>
    </fill>
    <fill>
      <patternFill patternType="solid">
        <fgColor theme="9" tint="0.59999389629810485"/>
        <bgColor rgb="FFE7E6E6"/>
      </patternFill>
    </fill>
    <fill>
      <patternFill patternType="solid">
        <fgColor theme="9" tint="0.59999389629810485"/>
        <bgColor indexed="64"/>
      </patternFill>
    </fill>
    <fill>
      <patternFill patternType="solid">
        <fgColor theme="9" tint="0.59999389629810485"/>
        <bgColor rgb="FFD9D9D9"/>
      </patternFill>
    </fill>
    <fill>
      <patternFill patternType="solid">
        <fgColor theme="9" tint="-0.249977111117893"/>
        <bgColor rgb="FF002060"/>
      </patternFill>
    </fill>
    <fill>
      <patternFill patternType="solid">
        <fgColor theme="9" tint="0.59999389629810485"/>
        <bgColor rgb="FFD9E2F3"/>
      </patternFill>
    </fill>
  </fills>
  <borders count="2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29">
    <xf numFmtId="0" fontId="0" fillId="0" borderId="0" xfId="0"/>
    <xf numFmtId="0" fontId="4" fillId="0" borderId="4" xfId="0" applyFont="1" applyBorder="1" applyAlignment="1">
      <alignment vertical="center"/>
    </xf>
    <xf numFmtId="0" fontId="6" fillId="0" borderId="0" xfId="0" applyFont="1" applyAlignment="1">
      <alignment horizontal="left"/>
    </xf>
    <xf numFmtId="0" fontId="4" fillId="0" borderId="4" xfId="0" applyFont="1" applyBorder="1" applyAlignment="1">
      <alignment horizontal="center" vertical="center" wrapText="1"/>
    </xf>
    <xf numFmtId="0" fontId="4" fillId="0" borderId="4" xfId="0" applyFont="1" applyBorder="1" applyAlignment="1">
      <alignment vertical="center" wrapText="1"/>
    </xf>
    <xf numFmtId="0" fontId="3" fillId="2" borderId="4" xfId="0" applyFont="1" applyFill="1" applyBorder="1" applyAlignment="1">
      <alignment horizontal="center" vertical="center" wrapText="1"/>
    </xf>
    <xf numFmtId="0" fontId="3" fillId="2" borderId="4" xfId="0" applyFont="1" applyFill="1" applyBorder="1" applyAlignment="1">
      <alignment horizontal="center" vertical="center"/>
    </xf>
    <xf numFmtId="0" fontId="7" fillId="0" borderId="4" xfId="0" applyFont="1" applyBorder="1" applyAlignment="1">
      <alignment horizontal="center" vertical="center" wrapText="1"/>
    </xf>
    <xf numFmtId="0" fontId="7" fillId="0" borderId="4" xfId="0" applyFont="1" applyBorder="1" applyAlignment="1">
      <alignment horizontal="center" vertical="center"/>
    </xf>
    <xf numFmtId="0" fontId="4" fillId="0" borderId="4" xfId="0" applyFont="1" applyBorder="1" applyAlignment="1">
      <alignment horizontal="center" vertical="center"/>
    </xf>
    <xf numFmtId="0" fontId="8" fillId="0" borderId="0" xfId="0" applyFont="1" applyAlignment="1">
      <alignment vertical="center"/>
    </xf>
    <xf numFmtId="0" fontId="6" fillId="0" borderId="0" xfId="0" applyFont="1" applyAlignment="1">
      <alignment vertical="center"/>
    </xf>
    <xf numFmtId="0" fontId="6" fillId="0" borderId="4" xfId="0" applyFont="1" applyBorder="1" applyAlignment="1">
      <alignment vertical="center"/>
    </xf>
    <xf numFmtId="0" fontId="10" fillId="0" borderId="4" xfId="0" applyFont="1" applyBorder="1" applyAlignment="1">
      <alignment horizontal="left" vertical="center" wrapText="1"/>
    </xf>
    <xf numFmtId="0" fontId="6" fillId="0" borderId="4" xfId="0" applyFont="1" applyBorder="1" applyAlignment="1">
      <alignment horizontal="left" vertical="center" wrapText="1"/>
    </xf>
    <xf numFmtId="0" fontId="3" fillId="13" borderId="4" xfId="0" applyFont="1" applyFill="1" applyBorder="1" applyAlignment="1">
      <alignment horizontal="center" vertical="center" wrapText="1"/>
    </xf>
    <xf numFmtId="0" fontId="3" fillId="13" borderId="4" xfId="0" applyFont="1" applyFill="1" applyBorder="1" applyAlignment="1">
      <alignment horizontal="center" vertical="center"/>
    </xf>
    <xf numFmtId="0" fontId="4" fillId="15" borderId="4" xfId="0" applyFont="1" applyFill="1" applyBorder="1" applyAlignment="1">
      <alignment vertical="center"/>
    </xf>
    <xf numFmtId="0" fontId="4" fillId="15" borderId="1" xfId="0" applyFont="1" applyFill="1" applyBorder="1" applyAlignment="1">
      <alignment vertical="center"/>
    </xf>
    <xf numFmtId="0" fontId="4" fillId="15" borderId="2" xfId="0" applyFont="1" applyFill="1" applyBorder="1" applyAlignment="1">
      <alignment vertical="center"/>
    </xf>
    <xf numFmtId="0" fontId="20" fillId="6" borderId="4" xfId="0" applyFont="1" applyFill="1" applyBorder="1" applyAlignment="1">
      <alignment vertical="center"/>
    </xf>
    <xf numFmtId="0" fontId="20" fillId="0" borderId="4" xfId="0" quotePrefix="1" applyFont="1" applyBorder="1" applyAlignment="1">
      <alignment horizontal="left" vertical="center"/>
    </xf>
    <xf numFmtId="0" fontId="22" fillId="0" borderId="0" xfId="0" applyFont="1" applyAlignment="1">
      <alignment vertical="center"/>
    </xf>
    <xf numFmtId="0" fontId="22" fillId="0" borderId="4" xfId="0" applyFont="1" applyBorder="1" applyAlignment="1">
      <alignment vertical="center"/>
    </xf>
    <xf numFmtId="0" fontId="22" fillId="0" borderId="4" xfId="0" applyFont="1" applyBorder="1" applyAlignment="1">
      <alignment horizontal="left" vertical="center" wrapText="1"/>
    </xf>
    <xf numFmtId="0" fontId="22" fillId="0" borderId="0" xfId="0" applyFont="1"/>
    <xf numFmtId="0" fontId="20" fillId="0" borderId="4" xfId="0" applyFont="1" applyBorder="1" applyAlignment="1">
      <alignment vertical="center"/>
    </xf>
    <xf numFmtId="0" fontId="20" fillId="0" borderId="4" xfId="0" applyFont="1" applyBorder="1" applyAlignment="1">
      <alignment horizontal="left" vertical="center"/>
    </xf>
    <xf numFmtId="0" fontId="21" fillId="0" borderId="2" xfId="0" applyFont="1" applyBorder="1" applyAlignment="1">
      <alignment horizontal="left"/>
    </xf>
    <xf numFmtId="0" fontId="21" fillId="0" borderId="3" xfId="0" applyFont="1" applyBorder="1" applyAlignment="1">
      <alignment horizontal="left"/>
    </xf>
    <xf numFmtId="0" fontId="22" fillId="0" borderId="4" xfId="0" applyFont="1" applyBorder="1" applyAlignment="1">
      <alignment horizontal="center" vertical="center"/>
    </xf>
    <xf numFmtId="0" fontId="22" fillId="0" borderId="16" xfId="0" applyFont="1" applyBorder="1"/>
    <xf numFmtId="0" fontId="22" fillId="0" borderId="16" xfId="0" applyFont="1" applyBorder="1" applyAlignment="1">
      <alignment vertical="center"/>
    </xf>
    <xf numFmtId="0" fontId="20" fillId="6" borderId="4" xfId="0" applyFont="1" applyFill="1" applyBorder="1" applyAlignment="1">
      <alignment horizontal="center" vertical="center"/>
    </xf>
    <xf numFmtId="0" fontId="20" fillId="0" borderId="4" xfId="0" applyFont="1" applyBorder="1" applyAlignment="1">
      <alignment horizontal="center" vertical="center"/>
    </xf>
    <xf numFmtId="0" fontId="22" fillId="2" borderId="4" xfId="0" applyFont="1" applyFill="1" applyBorder="1" applyAlignment="1">
      <alignment horizontal="center" vertical="center"/>
    </xf>
    <xf numFmtId="0" fontId="20" fillId="2" borderId="4" xfId="0" applyFont="1" applyFill="1" applyBorder="1" applyAlignment="1">
      <alignment horizontal="center" vertical="center"/>
    </xf>
    <xf numFmtId="0" fontId="20" fillId="6" borderId="1" xfId="0" applyFont="1" applyFill="1" applyBorder="1" applyAlignment="1">
      <alignment vertical="center"/>
    </xf>
    <xf numFmtId="0" fontId="22" fillId="0" borderId="4" xfId="0" applyFont="1" applyBorder="1" applyAlignment="1">
      <alignment vertical="center" wrapText="1"/>
    </xf>
    <xf numFmtId="0" fontId="22" fillId="0" borderId="3" xfId="0" applyFont="1" applyBorder="1" applyAlignment="1">
      <alignment vertical="center"/>
    </xf>
    <xf numFmtId="0" fontId="22" fillId="0" borderId="7" xfId="0" applyFont="1" applyBorder="1" applyAlignment="1">
      <alignment vertical="center"/>
    </xf>
    <xf numFmtId="0" fontId="24" fillId="0" borderId="1" xfId="0" applyFont="1" applyBorder="1" applyAlignment="1">
      <alignment vertical="top" wrapText="1"/>
    </xf>
    <xf numFmtId="0" fontId="22" fillId="0" borderId="17" xfId="0" applyFont="1" applyBorder="1" applyAlignment="1">
      <alignment horizontal="left" vertical="center" wrapText="1"/>
    </xf>
    <xf numFmtId="0" fontId="26" fillId="0" borderId="1" xfId="0" applyFont="1" applyBorder="1" applyAlignment="1">
      <alignment horizontal="left" vertical="center"/>
    </xf>
    <xf numFmtId="0" fontId="27" fillId="0" borderId="4" xfId="0" applyFont="1" applyBorder="1" applyAlignment="1">
      <alignment vertical="center"/>
    </xf>
    <xf numFmtId="9" fontId="20" fillId="2" borderId="4" xfId="0" applyNumberFormat="1" applyFont="1" applyFill="1" applyBorder="1" applyAlignment="1">
      <alignment horizontal="center" vertical="center"/>
    </xf>
    <xf numFmtId="0" fontId="22" fillId="0" borderId="1" xfId="0" applyFont="1" applyBorder="1" applyAlignment="1">
      <alignment horizontal="center" vertical="center"/>
    </xf>
    <xf numFmtId="0" fontId="23" fillId="0" borderId="3" xfId="0" applyFont="1" applyBorder="1"/>
    <xf numFmtId="0" fontId="22" fillId="0" borderId="1" xfId="0" applyFont="1" applyBorder="1" applyAlignment="1">
      <alignment vertical="center"/>
    </xf>
    <xf numFmtId="0" fontId="9" fillId="4" borderId="1" xfId="0" applyFont="1" applyFill="1" applyBorder="1" applyAlignment="1">
      <alignment horizontal="center" vertical="center"/>
    </xf>
    <xf numFmtId="0" fontId="2" fillId="0" borderId="2" xfId="0" applyFont="1" applyBorder="1"/>
    <xf numFmtId="0" fontId="2" fillId="0" borderId="3" xfId="0" applyFont="1" applyBorder="1"/>
    <xf numFmtId="0" fontId="11" fillId="5" borderId="1" xfId="0" applyFont="1" applyFill="1" applyBorder="1" applyAlignment="1">
      <alignment horizontal="center" vertical="center"/>
    </xf>
    <xf numFmtId="0" fontId="20" fillId="0" borderId="1" xfId="0" applyFont="1" applyBorder="1" applyAlignment="1">
      <alignment horizontal="left" vertical="center"/>
    </xf>
    <xf numFmtId="0" fontId="21" fillId="0" borderId="2" xfId="0" applyFont="1" applyBorder="1" applyAlignment="1">
      <alignment horizontal="left"/>
    </xf>
    <xf numFmtId="0" fontId="21" fillId="0" borderId="3" xfId="0" applyFont="1" applyBorder="1" applyAlignment="1">
      <alignment horizontal="left"/>
    </xf>
    <xf numFmtId="0" fontId="20" fillId="0" borderId="2" xfId="0" applyFont="1" applyBorder="1" applyAlignment="1">
      <alignment horizontal="left"/>
    </xf>
    <xf numFmtId="0" fontId="20" fillId="0" borderId="3" xfId="0" applyFont="1" applyBorder="1" applyAlignment="1">
      <alignment horizontal="left"/>
    </xf>
    <xf numFmtId="0" fontId="20" fillId="5" borderId="1" xfId="0" applyFont="1" applyFill="1" applyBorder="1" applyAlignment="1">
      <alignment horizontal="center" vertical="center"/>
    </xf>
    <xf numFmtId="0" fontId="23" fillId="0" borderId="2" xfId="0" applyFont="1" applyBorder="1"/>
    <xf numFmtId="0" fontId="22" fillId="0" borderId="1" xfId="0" applyFont="1" applyBorder="1" applyAlignment="1">
      <alignment horizontal="left" vertical="center" wrapText="1"/>
    </xf>
    <xf numFmtId="0" fontId="20" fillId="6" borderId="1" xfId="0" applyFont="1" applyFill="1" applyBorder="1" applyAlignment="1">
      <alignment horizontal="center" vertical="center"/>
    </xf>
    <xf numFmtId="0" fontId="22" fillId="0" borderId="5" xfId="0" applyFont="1" applyBorder="1" applyAlignment="1">
      <alignment horizontal="left" vertical="center" wrapText="1"/>
    </xf>
    <xf numFmtId="0" fontId="23" fillId="0" borderId="6" xfId="0" applyFont="1" applyBorder="1"/>
    <xf numFmtId="0" fontId="23" fillId="0" borderId="7" xfId="0" applyFont="1" applyBorder="1"/>
    <xf numFmtId="0" fontId="23" fillId="0" borderId="10" xfId="0" applyFont="1" applyBorder="1"/>
    <xf numFmtId="0" fontId="23" fillId="0" borderId="11" xfId="0" applyFont="1" applyBorder="1"/>
    <xf numFmtId="0" fontId="23" fillId="0" borderId="12" xfId="0" applyFont="1" applyBorder="1"/>
    <xf numFmtId="0" fontId="20" fillId="6" borderId="1" xfId="0" applyFont="1" applyFill="1" applyBorder="1" applyAlignment="1">
      <alignment horizontal="left"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0" fillId="6" borderId="1" xfId="0" applyFont="1" applyFill="1" applyBorder="1" applyAlignment="1">
      <alignment horizontal="right" vertical="center"/>
    </xf>
    <xf numFmtId="0" fontId="20" fillId="6" borderId="5" xfId="0" applyFont="1" applyFill="1" applyBorder="1" applyAlignment="1">
      <alignment horizontal="center" vertical="center"/>
    </xf>
    <xf numFmtId="0" fontId="20" fillId="6" borderId="13" xfId="0" applyFont="1" applyFill="1" applyBorder="1" applyAlignment="1">
      <alignment horizontal="center" vertical="center"/>
    </xf>
    <xf numFmtId="0" fontId="23" fillId="0" borderId="15" xfId="0" applyFont="1" applyBorder="1"/>
    <xf numFmtId="0" fontId="20" fillId="2" borderId="1" xfId="0" applyFont="1" applyFill="1" applyBorder="1" applyAlignment="1">
      <alignment horizontal="right" vertical="center"/>
    </xf>
    <xf numFmtId="0" fontId="21" fillId="0" borderId="2" xfId="0" applyFont="1" applyBorder="1"/>
    <xf numFmtId="0" fontId="21" fillId="0" borderId="3" xfId="0" applyFont="1" applyBorder="1"/>
    <xf numFmtId="0" fontId="20" fillId="6" borderId="7" xfId="0" applyFont="1" applyFill="1" applyBorder="1" applyAlignment="1">
      <alignment horizontal="center" vertical="center"/>
    </xf>
    <xf numFmtId="0" fontId="22" fillId="0" borderId="1" xfId="0" applyFont="1" applyBorder="1" applyAlignment="1">
      <alignment horizontal="left" vertical="center"/>
    </xf>
    <xf numFmtId="0" fontId="20" fillId="6" borderId="1" xfId="0" applyFont="1" applyFill="1" applyBorder="1" applyAlignment="1">
      <alignment horizontal="center" vertical="center" wrapText="1"/>
    </xf>
    <xf numFmtId="0" fontId="23" fillId="0" borderId="17" xfId="0" applyFont="1" applyBorder="1" applyAlignment="1">
      <alignment horizontal="left" vertical="top" wrapText="1"/>
    </xf>
    <xf numFmtId="0" fontId="23" fillId="0" borderId="18" xfId="0" applyFont="1" applyBorder="1" applyAlignment="1">
      <alignment horizontal="left" vertical="top"/>
    </xf>
    <xf numFmtId="0" fontId="23" fillId="0" borderId="19" xfId="0" applyFont="1" applyBorder="1" applyAlignment="1">
      <alignment horizontal="left" vertical="top"/>
    </xf>
    <xf numFmtId="0" fontId="2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11" borderId="1" xfId="0" applyFont="1" applyFill="1" applyBorder="1" applyAlignment="1">
      <alignment horizontal="left" vertical="center" wrapText="1"/>
    </xf>
    <xf numFmtId="0" fontId="2" fillId="12" borderId="2" xfId="0" applyFont="1" applyFill="1" applyBorder="1"/>
    <xf numFmtId="0" fontId="2" fillId="12" borderId="3" xfId="0" applyFont="1" applyFill="1" applyBorder="1"/>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4" fillId="0" borderId="5" xfId="0" applyFont="1" applyBorder="1" applyAlignment="1">
      <alignment horizontal="left" vertical="center" wrapText="1"/>
    </xf>
    <xf numFmtId="0" fontId="2" fillId="0" borderId="6" xfId="0" applyFont="1" applyBorder="1"/>
    <xf numFmtId="0" fontId="2" fillId="0" borderId="7" xfId="0" applyFont="1" applyBorder="1"/>
    <xf numFmtId="0" fontId="2" fillId="0" borderId="8" xfId="0" applyFont="1" applyBorder="1"/>
    <xf numFmtId="0" fontId="0" fillId="0" borderId="0" xfId="0"/>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4" fillId="0" borderId="1" xfId="0" applyFont="1" applyBorder="1" applyAlignment="1">
      <alignment horizontal="left" vertical="center" wrapText="1"/>
    </xf>
    <xf numFmtId="0" fontId="5" fillId="7" borderId="1" xfId="0" applyFont="1" applyFill="1" applyBorder="1" applyAlignment="1">
      <alignment horizontal="center" vertical="center"/>
    </xf>
    <xf numFmtId="0" fontId="2" fillId="8" borderId="2" xfId="0" applyFont="1" applyFill="1" applyBorder="1"/>
    <xf numFmtId="0" fontId="2" fillId="8" borderId="3" xfId="0" applyFont="1" applyFill="1" applyBorder="1"/>
    <xf numFmtId="0" fontId="4" fillId="15" borderId="1" xfId="0" applyFont="1" applyFill="1" applyBorder="1" applyAlignment="1">
      <alignment horizontal="left" vertical="center" wrapText="1"/>
    </xf>
    <xf numFmtId="0" fontId="5" fillId="14" borderId="1" xfId="0" applyFont="1" applyFill="1" applyBorder="1" applyAlignment="1">
      <alignment horizontal="center" vertical="center"/>
    </xf>
    <xf numFmtId="0" fontId="3" fillId="0" borderId="1" xfId="0" applyFont="1" applyBorder="1" applyAlignment="1">
      <alignment horizontal="right" vertical="center"/>
    </xf>
    <xf numFmtId="0" fontId="4" fillId="3"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1" xfId="0" applyFont="1" applyFill="1" applyBorder="1" applyAlignment="1">
      <alignment horizontal="center" vertical="center" wrapText="1"/>
    </xf>
    <xf numFmtId="0" fontId="7" fillId="0" borderId="1" xfId="0" applyFont="1" applyBorder="1" applyAlignment="1">
      <alignment horizontal="left" vertical="center"/>
    </xf>
    <xf numFmtId="0" fontId="4" fillId="11" borderId="1" xfId="0" applyFont="1" applyFill="1" applyBorder="1" applyAlignment="1">
      <alignment horizontal="left" vertical="center" wrapText="1"/>
    </xf>
    <xf numFmtId="0" fontId="4" fillId="0" borderId="1" xfId="0" applyFont="1" applyBorder="1" applyAlignment="1">
      <alignment horizontal="left" vertical="center"/>
    </xf>
    <xf numFmtId="0" fontId="3" fillId="13" borderId="1" xfId="0" applyFont="1" applyFill="1" applyBorder="1" applyAlignment="1">
      <alignment horizontal="left" vertical="center"/>
    </xf>
    <xf numFmtId="0" fontId="4" fillId="13" borderId="1" xfId="0" applyFont="1" applyFill="1" applyBorder="1" applyAlignment="1">
      <alignment horizontal="left" vertical="center"/>
    </xf>
    <xf numFmtId="0" fontId="4" fillId="0" borderId="5" xfId="0" applyFont="1" applyBorder="1" applyAlignment="1">
      <alignment horizontal="center" vertical="center" wrapText="1"/>
    </xf>
    <xf numFmtId="0" fontId="4" fillId="0" borderId="13" xfId="0" applyFont="1" applyBorder="1" applyAlignment="1">
      <alignment horizontal="center" vertical="center" wrapText="1"/>
    </xf>
    <xf numFmtId="0" fontId="2" fillId="0" borderId="14" xfId="0" applyFont="1" applyBorder="1"/>
    <xf numFmtId="0" fontId="2" fillId="0" borderId="15" xfId="0" applyFont="1" applyBorder="1"/>
    <xf numFmtId="0" fontId="1" fillId="7" borderId="1" xfId="0" applyFont="1" applyFill="1" applyBorder="1" applyAlignment="1">
      <alignment horizontal="center" vertical="center"/>
    </xf>
    <xf numFmtId="0" fontId="19" fillId="9" borderId="1" xfId="0" applyFont="1" applyFill="1" applyBorder="1" applyAlignment="1">
      <alignment horizontal="center" vertical="center"/>
    </xf>
    <xf numFmtId="0" fontId="6" fillId="10" borderId="2" xfId="0" applyFont="1" applyFill="1" applyBorder="1"/>
    <xf numFmtId="0" fontId="6" fillId="10" borderId="3" xfId="0" applyFont="1" applyFill="1" applyBorder="1"/>
    <xf numFmtId="0" fontId="3" fillId="2" borderId="1" xfId="0" applyFont="1" applyFill="1" applyBorder="1" applyAlignment="1">
      <alignment horizontal="left" vertical="center"/>
    </xf>
    <xf numFmtId="0" fontId="4" fillId="0" borderId="1" xfId="0" applyFont="1" applyBorder="1" applyAlignment="1">
      <alignment horizontal="center" vertical="center"/>
    </xf>
    <xf numFmtId="0" fontId="5" fillId="7" borderId="1" xfId="0" applyFont="1" applyFill="1" applyBorder="1" applyAlignment="1">
      <alignment horizontal="left" vertical="center" wrapText="1"/>
    </xf>
    <xf numFmtId="0" fontId="3" fillId="15" borderId="1" xfId="0" applyFont="1" applyFill="1" applyBorder="1" applyAlignment="1">
      <alignment horizontal="left" vertical="center"/>
    </xf>
    <xf numFmtId="0" fontId="5" fillId="7"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topLeftCell="A3" workbookViewId="0">
      <selection activeCell="A8" sqref="A8:F8"/>
    </sheetView>
  </sheetViews>
  <sheetFormatPr defaultColWidth="14.453125" defaultRowHeight="15" customHeight="1"/>
  <cols>
    <col min="1" max="1" width="26.453125" bestFit="1" customWidth="1"/>
    <col min="2" max="3" width="20" customWidth="1"/>
    <col min="4" max="4" width="44.453125" customWidth="1"/>
    <col min="5" max="6" width="23" customWidth="1"/>
    <col min="7" max="26" width="8.6328125" customWidth="1"/>
  </cols>
  <sheetData>
    <row r="1" spans="1:6" ht="19.5" customHeight="1">
      <c r="A1" s="120" t="s">
        <v>0</v>
      </c>
      <c r="B1" s="102"/>
      <c r="C1" s="102"/>
      <c r="D1" s="102"/>
      <c r="E1" s="102"/>
      <c r="F1" s="103"/>
    </row>
    <row r="2" spans="1:6" ht="19.5" customHeight="1">
      <c r="A2" s="121" t="s">
        <v>1</v>
      </c>
      <c r="B2" s="122"/>
      <c r="C2" s="122"/>
      <c r="D2" s="122"/>
      <c r="E2" s="122"/>
      <c r="F2" s="123"/>
    </row>
    <row r="3" spans="1:6" ht="19.5" customHeight="1">
      <c r="A3" s="124" t="s">
        <v>2</v>
      </c>
      <c r="B3" s="50"/>
      <c r="C3" s="50"/>
      <c r="D3" s="50"/>
      <c r="E3" s="50"/>
      <c r="F3" s="51"/>
    </row>
    <row r="4" spans="1:6" ht="53.25" customHeight="1">
      <c r="A4" s="100" t="s">
        <v>3</v>
      </c>
      <c r="B4" s="50"/>
      <c r="C4" s="50"/>
      <c r="D4" s="50"/>
      <c r="E4" s="50"/>
      <c r="F4" s="51"/>
    </row>
    <row r="5" spans="1:6" ht="19.5" customHeight="1">
      <c r="A5" s="124" t="s">
        <v>4</v>
      </c>
      <c r="B5" s="50"/>
      <c r="C5" s="50"/>
      <c r="D5" s="50"/>
      <c r="E5" s="50"/>
      <c r="F5" s="51"/>
    </row>
    <row r="6" spans="1:6" ht="22.5" customHeight="1">
      <c r="A6" s="100" t="s">
        <v>5</v>
      </c>
      <c r="B6" s="50"/>
      <c r="C6" s="50"/>
      <c r="D6" s="50"/>
      <c r="E6" s="50"/>
      <c r="F6" s="51"/>
    </row>
    <row r="7" spans="1:6" ht="19.5" customHeight="1">
      <c r="A7" s="124" t="s">
        <v>6</v>
      </c>
      <c r="B7" s="50"/>
      <c r="C7" s="50"/>
      <c r="D7" s="50"/>
      <c r="E7" s="50"/>
      <c r="F7" s="51"/>
    </row>
    <row r="8" spans="1:6" ht="39" customHeight="1">
      <c r="A8" s="100" t="s">
        <v>7</v>
      </c>
      <c r="B8" s="50"/>
      <c r="C8" s="50"/>
      <c r="D8" s="50"/>
      <c r="E8" s="50"/>
      <c r="F8" s="51"/>
    </row>
    <row r="9" spans="1:6" ht="19.5" customHeight="1">
      <c r="A9" s="128" t="s">
        <v>8</v>
      </c>
      <c r="B9" s="102"/>
      <c r="C9" s="102"/>
      <c r="D9" s="102"/>
      <c r="E9" s="102"/>
      <c r="F9" s="103"/>
    </row>
    <row r="10" spans="1:6" ht="19.5" customHeight="1">
      <c r="A10" s="17" t="s">
        <v>9</v>
      </c>
      <c r="B10" s="125" t="s">
        <v>10</v>
      </c>
      <c r="C10" s="51"/>
      <c r="D10" s="17" t="s">
        <v>11</v>
      </c>
      <c r="E10" s="85" t="s">
        <v>12</v>
      </c>
      <c r="F10" s="51"/>
    </row>
    <row r="11" spans="1:6" ht="19.5" customHeight="1">
      <c r="A11" s="17" t="s">
        <v>13</v>
      </c>
      <c r="B11" s="85" t="s">
        <v>14</v>
      </c>
      <c r="C11" s="51"/>
      <c r="D11" s="17" t="s">
        <v>15</v>
      </c>
      <c r="E11" s="85" t="s">
        <v>12</v>
      </c>
      <c r="F11" s="51"/>
    </row>
    <row r="12" spans="1:6" ht="19.5" customHeight="1">
      <c r="A12" s="17" t="s">
        <v>16</v>
      </c>
      <c r="B12" s="125" t="s">
        <v>12</v>
      </c>
      <c r="C12" s="51"/>
      <c r="D12" s="17" t="s">
        <v>17</v>
      </c>
      <c r="E12" s="125" t="s">
        <v>18</v>
      </c>
      <c r="F12" s="51"/>
    </row>
    <row r="13" spans="1:6" ht="19.5" customHeight="1">
      <c r="A13" s="17" t="s">
        <v>19</v>
      </c>
      <c r="B13" s="85" t="s">
        <v>12</v>
      </c>
      <c r="C13" s="51"/>
      <c r="D13" s="17" t="s">
        <v>20</v>
      </c>
      <c r="E13" s="125" t="s">
        <v>18</v>
      </c>
      <c r="F13" s="51"/>
    </row>
    <row r="14" spans="1:6" ht="19.5" customHeight="1">
      <c r="A14" s="18" t="s">
        <v>218</v>
      </c>
      <c r="B14" s="85" t="s">
        <v>14</v>
      </c>
      <c r="C14" s="51"/>
      <c r="D14" s="19" t="s">
        <v>219</v>
      </c>
      <c r="E14" s="85" t="s">
        <v>12</v>
      </c>
      <c r="F14" s="51"/>
    </row>
    <row r="15" spans="1:6" ht="19.5" customHeight="1">
      <c r="A15" s="18" t="s">
        <v>220</v>
      </c>
      <c r="B15" s="85" t="s">
        <v>12</v>
      </c>
      <c r="C15" s="51"/>
      <c r="D15" s="19" t="s">
        <v>221</v>
      </c>
      <c r="E15" s="85" t="s">
        <v>12</v>
      </c>
      <c r="F15" s="51"/>
    </row>
    <row r="16" spans="1:6" ht="19.5" customHeight="1">
      <c r="A16" s="126" t="s">
        <v>21</v>
      </c>
      <c r="B16" s="102"/>
      <c r="C16" s="102"/>
      <c r="D16" s="102"/>
      <c r="E16" s="102"/>
      <c r="F16" s="103"/>
    </row>
    <row r="17" spans="1:26" ht="19.5" customHeight="1">
      <c r="A17" s="127" t="s">
        <v>22</v>
      </c>
      <c r="B17" s="87"/>
      <c r="C17" s="87"/>
      <c r="D17" s="87"/>
      <c r="E17" s="87"/>
      <c r="F17" s="88"/>
    </row>
    <row r="18" spans="1:26" ht="19.5" customHeight="1">
      <c r="A18" s="1" t="s">
        <v>23</v>
      </c>
      <c r="B18" s="91" t="s">
        <v>24</v>
      </c>
      <c r="C18" s="92"/>
      <c r="D18" s="93"/>
      <c r="E18" s="91" t="s">
        <v>25</v>
      </c>
      <c r="F18" s="93"/>
    </row>
    <row r="19" spans="1:26" ht="19.5" customHeight="1">
      <c r="A19" s="1" t="s">
        <v>26</v>
      </c>
      <c r="B19" s="94"/>
      <c r="C19" s="95"/>
      <c r="D19" s="96"/>
      <c r="E19" s="94"/>
      <c r="F19" s="96"/>
    </row>
    <row r="20" spans="1:26" ht="19.5" customHeight="1">
      <c r="A20" s="1" t="s">
        <v>27</v>
      </c>
      <c r="B20" s="94"/>
      <c r="C20" s="95"/>
      <c r="D20" s="96"/>
      <c r="E20" s="94"/>
      <c r="F20" s="96"/>
    </row>
    <row r="21" spans="1:26" ht="19.5" customHeight="1">
      <c r="A21" s="1" t="s">
        <v>28</v>
      </c>
      <c r="B21" s="97"/>
      <c r="C21" s="98"/>
      <c r="D21" s="99"/>
      <c r="E21" s="97"/>
      <c r="F21" s="99"/>
    </row>
    <row r="22" spans="1:26" ht="19.5" customHeight="1">
      <c r="A22" s="1" t="s">
        <v>29</v>
      </c>
      <c r="B22" s="91" t="s">
        <v>30</v>
      </c>
      <c r="C22" s="92"/>
      <c r="D22" s="93"/>
      <c r="E22" s="100" t="s">
        <v>31</v>
      </c>
      <c r="F22" s="51"/>
    </row>
    <row r="23" spans="1:26" ht="19.5" customHeight="1">
      <c r="A23" s="1" t="s">
        <v>32</v>
      </c>
      <c r="B23" s="94"/>
      <c r="C23" s="95"/>
      <c r="D23" s="96"/>
      <c r="E23" s="100" t="s">
        <v>33</v>
      </c>
      <c r="F23" s="51"/>
    </row>
    <row r="24" spans="1:26" ht="19.5" customHeight="1">
      <c r="A24" s="1" t="s">
        <v>34</v>
      </c>
      <c r="B24" s="94"/>
      <c r="C24" s="95"/>
      <c r="D24" s="96"/>
      <c r="E24" s="100" t="s">
        <v>35</v>
      </c>
      <c r="F24" s="51"/>
    </row>
    <row r="25" spans="1:26" ht="19.5" customHeight="1">
      <c r="A25" s="1" t="s">
        <v>36</v>
      </c>
      <c r="B25" s="97"/>
      <c r="C25" s="98"/>
      <c r="D25" s="99"/>
      <c r="E25" s="100" t="s">
        <v>37</v>
      </c>
      <c r="F25" s="51"/>
    </row>
    <row r="26" spans="1:26" ht="19.5" customHeight="1">
      <c r="A26" s="101" t="s">
        <v>38</v>
      </c>
      <c r="B26" s="102"/>
      <c r="C26" s="102"/>
      <c r="D26" s="102"/>
      <c r="E26" s="102"/>
      <c r="F26" s="103"/>
    </row>
    <row r="27" spans="1:26" ht="52.5" customHeight="1">
      <c r="A27" s="104" t="s">
        <v>39</v>
      </c>
      <c r="B27" s="87"/>
      <c r="C27" s="87"/>
      <c r="D27" s="87"/>
      <c r="E27" s="87"/>
      <c r="F27" s="88"/>
    </row>
    <row r="28" spans="1:26" ht="19.5" customHeight="1">
      <c r="A28" s="86" t="s">
        <v>40</v>
      </c>
      <c r="B28" s="87"/>
      <c r="C28" s="87"/>
      <c r="D28" s="87"/>
      <c r="E28" s="87"/>
      <c r="F28" s="88"/>
    </row>
    <row r="29" spans="1:26" ht="35.25" customHeight="1">
      <c r="A29" s="90" t="s">
        <v>41</v>
      </c>
      <c r="B29" s="50"/>
      <c r="C29" s="50"/>
      <c r="D29" s="50"/>
      <c r="E29" s="50"/>
      <c r="F29" s="51"/>
      <c r="G29" s="2"/>
      <c r="H29" s="2"/>
      <c r="I29" s="2"/>
      <c r="J29" s="2"/>
      <c r="K29" s="2"/>
      <c r="L29" s="2"/>
      <c r="M29" s="2"/>
      <c r="N29" s="2"/>
      <c r="O29" s="2"/>
      <c r="P29" s="2"/>
      <c r="Q29" s="2"/>
      <c r="R29" s="2"/>
      <c r="S29" s="2"/>
      <c r="T29" s="2"/>
      <c r="U29" s="2"/>
      <c r="V29" s="2"/>
      <c r="W29" s="2"/>
      <c r="X29" s="2"/>
      <c r="Y29" s="2"/>
      <c r="Z29" s="2"/>
    </row>
    <row r="30" spans="1:26" ht="35.25" customHeight="1">
      <c r="A30" s="89" t="s">
        <v>42</v>
      </c>
      <c r="B30" s="50"/>
      <c r="C30" s="50"/>
      <c r="D30" s="50"/>
      <c r="E30" s="50"/>
      <c r="F30" s="51"/>
      <c r="G30" s="2"/>
      <c r="H30" s="2"/>
      <c r="I30" s="2"/>
      <c r="J30" s="2"/>
      <c r="K30" s="2"/>
      <c r="L30" s="2"/>
      <c r="M30" s="2"/>
      <c r="N30" s="2"/>
      <c r="O30" s="2"/>
      <c r="P30" s="2"/>
      <c r="Q30" s="2"/>
      <c r="R30" s="2"/>
      <c r="S30" s="2"/>
      <c r="T30" s="2"/>
      <c r="U30" s="2"/>
      <c r="V30" s="2"/>
      <c r="W30" s="2"/>
      <c r="X30" s="2"/>
      <c r="Y30" s="2"/>
      <c r="Z30" s="2"/>
    </row>
    <row r="31" spans="1:26" ht="35.25" customHeight="1">
      <c r="A31" s="90" t="s">
        <v>43</v>
      </c>
      <c r="B31" s="50"/>
      <c r="C31" s="50"/>
      <c r="D31" s="50"/>
      <c r="E31" s="50"/>
      <c r="F31" s="51"/>
      <c r="G31" s="2"/>
      <c r="H31" s="2"/>
      <c r="I31" s="2"/>
      <c r="J31" s="2"/>
      <c r="K31" s="2"/>
      <c r="L31" s="2"/>
      <c r="M31" s="2"/>
      <c r="N31" s="2"/>
      <c r="O31" s="2"/>
      <c r="P31" s="2"/>
      <c r="Q31" s="2"/>
      <c r="R31" s="2"/>
      <c r="S31" s="2"/>
      <c r="T31" s="2"/>
      <c r="U31" s="2"/>
      <c r="V31" s="2"/>
      <c r="W31" s="2"/>
      <c r="X31" s="2"/>
      <c r="Y31" s="2"/>
      <c r="Z31" s="2"/>
    </row>
    <row r="32" spans="1:26" ht="35.25" customHeight="1">
      <c r="A32" s="90" t="s">
        <v>44</v>
      </c>
      <c r="B32" s="50"/>
      <c r="C32" s="50"/>
      <c r="D32" s="50"/>
      <c r="E32" s="50"/>
      <c r="F32" s="51"/>
      <c r="G32" s="2"/>
      <c r="H32" s="2"/>
      <c r="I32" s="2"/>
      <c r="J32" s="2"/>
      <c r="K32" s="2"/>
      <c r="L32" s="2"/>
      <c r="M32" s="2"/>
      <c r="N32" s="2"/>
      <c r="O32" s="2"/>
      <c r="P32" s="2"/>
      <c r="Q32" s="2"/>
      <c r="R32" s="2"/>
      <c r="S32" s="2"/>
      <c r="T32" s="2"/>
      <c r="U32" s="2"/>
      <c r="V32" s="2"/>
      <c r="W32" s="2"/>
      <c r="X32" s="2"/>
      <c r="Y32" s="2"/>
      <c r="Z32" s="2"/>
    </row>
    <row r="33" spans="1:26" ht="35.25" customHeight="1">
      <c r="A33" s="90" t="s">
        <v>45</v>
      </c>
      <c r="B33" s="50"/>
      <c r="C33" s="50"/>
      <c r="D33" s="50"/>
      <c r="E33" s="50"/>
      <c r="F33" s="51"/>
      <c r="G33" s="2"/>
      <c r="H33" s="2"/>
      <c r="I33" s="2"/>
      <c r="J33" s="2"/>
      <c r="K33" s="2"/>
      <c r="L33" s="2"/>
      <c r="M33" s="2"/>
      <c r="N33" s="2"/>
      <c r="O33" s="2"/>
      <c r="P33" s="2"/>
      <c r="Q33" s="2"/>
      <c r="R33" s="2"/>
      <c r="S33" s="2"/>
      <c r="T33" s="2"/>
      <c r="U33" s="2"/>
      <c r="V33" s="2"/>
      <c r="W33" s="2"/>
      <c r="X33" s="2"/>
      <c r="Y33" s="2"/>
      <c r="Z33" s="2"/>
    </row>
    <row r="34" spans="1:26" ht="35.25" customHeight="1">
      <c r="A34" s="90" t="s">
        <v>46</v>
      </c>
      <c r="B34" s="50"/>
      <c r="C34" s="50"/>
      <c r="D34" s="50"/>
      <c r="E34" s="50"/>
      <c r="F34" s="51"/>
      <c r="G34" s="2"/>
      <c r="H34" s="2"/>
      <c r="I34" s="2"/>
      <c r="J34" s="2"/>
      <c r="K34" s="2"/>
      <c r="L34" s="2"/>
      <c r="M34" s="2"/>
      <c r="N34" s="2"/>
      <c r="O34" s="2"/>
      <c r="P34" s="2"/>
      <c r="Q34" s="2"/>
      <c r="R34" s="2"/>
      <c r="S34" s="2"/>
      <c r="T34" s="2"/>
      <c r="U34" s="2"/>
      <c r="V34" s="2"/>
      <c r="W34" s="2"/>
      <c r="X34" s="2"/>
      <c r="Y34" s="2"/>
      <c r="Z34" s="2"/>
    </row>
    <row r="35" spans="1:26" ht="35.25" customHeight="1">
      <c r="A35" s="90" t="s">
        <v>47</v>
      </c>
      <c r="B35" s="50"/>
      <c r="C35" s="50"/>
      <c r="D35" s="50"/>
      <c r="E35" s="50"/>
      <c r="F35" s="51"/>
      <c r="G35" s="2"/>
      <c r="H35" s="2"/>
      <c r="I35" s="2"/>
      <c r="J35" s="2"/>
      <c r="K35" s="2"/>
      <c r="L35" s="2"/>
      <c r="M35" s="2"/>
      <c r="N35" s="2"/>
      <c r="O35" s="2"/>
      <c r="P35" s="2"/>
      <c r="Q35" s="2"/>
      <c r="R35" s="2"/>
      <c r="S35" s="2"/>
      <c r="T35" s="2"/>
      <c r="U35" s="2"/>
      <c r="V35" s="2"/>
      <c r="W35" s="2"/>
      <c r="X35" s="2"/>
      <c r="Y35" s="2"/>
      <c r="Z35" s="2"/>
    </row>
    <row r="36" spans="1:26" ht="35.25" customHeight="1">
      <c r="A36" s="90" t="s">
        <v>48</v>
      </c>
      <c r="B36" s="50"/>
      <c r="C36" s="50"/>
      <c r="D36" s="50"/>
      <c r="E36" s="50"/>
      <c r="F36" s="51"/>
      <c r="G36" s="2"/>
      <c r="H36" s="2"/>
      <c r="I36" s="2"/>
      <c r="J36" s="2"/>
      <c r="K36" s="2"/>
      <c r="L36" s="2"/>
      <c r="M36" s="2"/>
      <c r="N36" s="2"/>
      <c r="O36" s="2"/>
      <c r="P36" s="2"/>
      <c r="Q36" s="2"/>
      <c r="R36" s="2"/>
      <c r="S36" s="2"/>
      <c r="T36" s="2"/>
      <c r="U36" s="2"/>
      <c r="V36" s="2"/>
      <c r="W36" s="2"/>
      <c r="X36" s="2"/>
      <c r="Y36" s="2"/>
      <c r="Z36" s="2"/>
    </row>
    <row r="37" spans="1:26" ht="35.25" customHeight="1">
      <c r="A37" s="90" t="s">
        <v>49</v>
      </c>
      <c r="B37" s="50"/>
      <c r="C37" s="50"/>
      <c r="D37" s="50"/>
      <c r="E37" s="50"/>
      <c r="F37" s="51"/>
      <c r="G37" s="2"/>
      <c r="H37" s="2"/>
      <c r="I37" s="2"/>
      <c r="J37" s="2"/>
      <c r="K37" s="2"/>
      <c r="L37" s="2"/>
      <c r="M37" s="2"/>
      <c r="N37" s="2"/>
      <c r="O37" s="2"/>
      <c r="P37" s="2"/>
      <c r="Q37" s="2"/>
      <c r="R37" s="2"/>
      <c r="S37" s="2"/>
      <c r="T37" s="2"/>
      <c r="U37" s="2"/>
      <c r="V37" s="2"/>
      <c r="W37" s="2"/>
      <c r="X37" s="2"/>
      <c r="Y37" s="2"/>
      <c r="Z37" s="2"/>
    </row>
    <row r="38" spans="1:26" ht="35.25" customHeight="1">
      <c r="A38" s="90" t="s">
        <v>50</v>
      </c>
      <c r="B38" s="50"/>
      <c r="C38" s="50"/>
      <c r="D38" s="50"/>
      <c r="E38" s="50"/>
      <c r="F38" s="51"/>
      <c r="G38" s="2"/>
      <c r="H38" s="2"/>
      <c r="I38" s="2"/>
      <c r="J38" s="2"/>
      <c r="K38" s="2"/>
      <c r="L38" s="2"/>
      <c r="M38" s="2"/>
      <c r="N38" s="2"/>
      <c r="O38" s="2"/>
      <c r="P38" s="2"/>
      <c r="Q38" s="2"/>
      <c r="R38" s="2"/>
      <c r="S38" s="2"/>
      <c r="T38" s="2"/>
      <c r="U38" s="2"/>
      <c r="V38" s="2"/>
      <c r="W38" s="2"/>
      <c r="X38" s="2"/>
      <c r="Y38" s="2"/>
      <c r="Z38" s="2"/>
    </row>
    <row r="39" spans="1:26" ht="19.5" customHeight="1">
      <c r="A39" s="86" t="s">
        <v>51</v>
      </c>
      <c r="B39" s="87"/>
      <c r="C39" s="87"/>
      <c r="D39" s="87"/>
      <c r="E39" s="87"/>
      <c r="F39" s="88"/>
    </row>
    <row r="40" spans="1:26" ht="35.25" customHeight="1">
      <c r="A40" s="89" t="s">
        <v>52</v>
      </c>
      <c r="B40" s="50"/>
      <c r="C40" s="50"/>
      <c r="D40" s="50"/>
      <c r="E40" s="50"/>
      <c r="F40" s="51"/>
      <c r="G40" s="2"/>
      <c r="H40" s="2"/>
      <c r="I40" s="2"/>
      <c r="J40" s="2"/>
      <c r="K40" s="2"/>
      <c r="L40" s="2"/>
      <c r="M40" s="2"/>
      <c r="N40" s="2"/>
      <c r="O40" s="2"/>
      <c r="P40" s="2"/>
      <c r="Q40" s="2"/>
      <c r="R40" s="2"/>
      <c r="S40" s="2"/>
      <c r="T40" s="2"/>
      <c r="U40" s="2"/>
      <c r="V40" s="2"/>
      <c r="W40" s="2"/>
      <c r="X40" s="2"/>
      <c r="Y40" s="2"/>
      <c r="Z40" s="2"/>
    </row>
    <row r="41" spans="1:26" ht="35.25" customHeight="1">
      <c r="A41" s="90" t="s">
        <v>53</v>
      </c>
      <c r="B41" s="50"/>
      <c r="C41" s="50"/>
      <c r="D41" s="50"/>
      <c r="E41" s="50"/>
      <c r="F41" s="51"/>
      <c r="G41" s="2"/>
      <c r="H41" s="2"/>
      <c r="I41" s="2"/>
      <c r="J41" s="2"/>
      <c r="K41" s="2"/>
      <c r="L41" s="2"/>
      <c r="M41" s="2"/>
      <c r="N41" s="2"/>
      <c r="O41" s="2"/>
      <c r="P41" s="2"/>
      <c r="Q41" s="2"/>
      <c r="R41" s="2"/>
      <c r="S41" s="2"/>
      <c r="T41" s="2"/>
      <c r="U41" s="2"/>
      <c r="V41" s="2"/>
      <c r="W41" s="2"/>
      <c r="X41" s="2"/>
      <c r="Y41" s="2"/>
      <c r="Z41" s="2"/>
    </row>
    <row r="42" spans="1:26" ht="35.25" customHeight="1">
      <c r="A42" s="89" t="s">
        <v>54</v>
      </c>
      <c r="B42" s="50"/>
      <c r="C42" s="50"/>
      <c r="D42" s="50"/>
      <c r="E42" s="50"/>
      <c r="F42" s="51"/>
      <c r="G42" s="2"/>
      <c r="H42" s="2"/>
      <c r="I42" s="2"/>
      <c r="J42" s="2"/>
      <c r="K42" s="2"/>
      <c r="L42" s="2"/>
      <c r="M42" s="2"/>
      <c r="N42" s="2"/>
      <c r="O42" s="2"/>
      <c r="P42" s="2"/>
      <c r="Q42" s="2"/>
      <c r="R42" s="2"/>
      <c r="S42" s="2"/>
      <c r="T42" s="2"/>
      <c r="U42" s="2"/>
      <c r="V42" s="2"/>
      <c r="W42" s="2"/>
      <c r="X42" s="2"/>
      <c r="Y42" s="2"/>
      <c r="Z42" s="2"/>
    </row>
    <row r="43" spans="1:26" ht="35.25" customHeight="1">
      <c r="A43" s="89" t="s">
        <v>55</v>
      </c>
      <c r="B43" s="50"/>
      <c r="C43" s="50"/>
      <c r="D43" s="50"/>
      <c r="E43" s="50"/>
      <c r="F43" s="51"/>
      <c r="G43" s="2"/>
      <c r="H43" s="2"/>
      <c r="I43" s="2"/>
      <c r="J43" s="2"/>
      <c r="K43" s="2"/>
      <c r="L43" s="2"/>
      <c r="M43" s="2"/>
      <c r="N43" s="2"/>
      <c r="O43" s="2"/>
      <c r="P43" s="2"/>
      <c r="Q43" s="2"/>
      <c r="R43" s="2"/>
      <c r="S43" s="2"/>
      <c r="T43" s="2"/>
      <c r="U43" s="2"/>
      <c r="V43" s="2"/>
      <c r="W43" s="2"/>
      <c r="X43" s="2"/>
      <c r="Y43" s="2"/>
      <c r="Z43" s="2"/>
    </row>
    <row r="44" spans="1:26" ht="35.25" customHeight="1">
      <c r="A44" s="90" t="s">
        <v>56</v>
      </c>
      <c r="B44" s="50"/>
      <c r="C44" s="50"/>
      <c r="D44" s="50"/>
      <c r="E44" s="50"/>
      <c r="F44" s="51"/>
      <c r="G44" s="2"/>
      <c r="H44" s="2"/>
      <c r="I44" s="2"/>
      <c r="J44" s="2"/>
      <c r="K44" s="2"/>
      <c r="L44" s="2"/>
      <c r="M44" s="2"/>
      <c r="N44" s="2"/>
      <c r="O44" s="2"/>
      <c r="P44" s="2"/>
      <c r="Q44" s="2"/>
      <c r="R44" s="2"/>
      <c r="S44" s="2"/>
      <c r="T44" s="2"/>
      <c r="U44" s="2"/>
      <c r="V44" s="2"/>
      <c r="W44" s="2"/>
      <c r="X44" s="2"/>
      <c r="Y44" s="2"/>
      <c r="Z44" s="2"/>
    </row>
    <row r="45" spans="1:26" ht="19.5" customHeight="1">
      <c r="A45" s="86" t="s">
        <v>57</v>
      </c>
      <c r="B45" s="87"/>
      <c r="C45" s="87"/>
      <c r="D45" s="87"/>
      <c r="E45" s="87"/>
      <c r="F45" s="88"/>
    </row>
    <row r="46" spans="1:26" ht="35.25" customHeight="1">
      <c r="A46" s="89" t="s">
        <v>58</v>
      </c>
      <c r="B46" s="50"/>
      <c r="C46" s="50"/>
      <c r="D46" s="50"/>
      <c r="E46" s="50"/>
      <c r="F46" s="51"/>
      <c r="G46" s="2"/>
      <c r="H46" s="2"/>
      <c r="I46" s="2"/>
      <c r="J46" s="2"/>
      <c r="K46" s="2"/>
      <c r="L46" s="2"/>
      <c r="M46" s="2"/>
      <c r="N46" s="2"/>
      <c r="O46" s="2"/>
      <c r="P46" s="2"/>
      <c r="Q46" s="2"/>
      <c r="R46" s="2"/>
      <c r="S46" s="2"/>
      <c r="T46" s="2"/>
      <c r="U46" s="2"/>
      <c r="V46" s="2"/>
      <c r="W46" s="2"/>
      <c r="X46" s="2"/>
      <c r="Y46" s="2"/>
      <c r="Z46" s="2"/>
    </row>
    <row r="47" spans="1:26" ht="35.25" customHeight="1">
      <c r="A47" s="90" t="s">
        <v>59</v>
      </c>
      <c r="B47" s="50"/>
      <c r="C47" s="50"/>
      <c r="D47" s="50"/>
      <c r="E47" s="50"/>
      <c r="F47" s="51"/>
      <c r="G47" s="2"/>
      <c r="H47" s="2"/>
      <c r="I47" s="2"/>
      <c r="J47" s="2"/>
      <c r="K47" s="2"/>
      <c r="L47" s="2"/>
      <c r="M47" s="2"/>
      <c r="N47" s="2"/>
      <c r="O47" s="2"/>
      <c r="P47" s="2"/>
      <c r="Q47" s="2"/>
      <c r="R47" s="2"/>
      <c r="S47" s="2"/>
      <c r="T47" s="2"/>
      <c r="U47" s="2"/>
      <c r="V47" s="2"/>
      <c r="W47" s="2"/>
      <c r="X47" s="2"/>
      <c r="Y47" s="2"/>
      <c r="Z47" s="2"/>
    </row>
    <row r="48" spans="1:26" ht="35.25" customHeight="1">
      <c r="A48" s="90" t="s">
        <v>60</v>
      </c>
      <c r="B48" s="50"/>
      <c r="C48" s="50"/>
      <c r="D48" s="50"/>
      <c r="E48" s="50"/>
      <c r="F48" s="51"/>
      <c r="G48" s="2"/>
      <c r="H48" s="2"/>
      <c r="I48" s="2"/>
      <c r="J48" s="2"/>
      <c r="K48" s="2"/>
      <c r="L48" s="2"/>
      <c r="M48" s="2"/>
      <c r="N48" s="2"/>
      <c r="O48" s="2"/>
      <c r="P48" s="2"/>
      <c r="Q48" s="2"/>
      <c r="R48" s="2"/>
      <c r="S48" s="2"/>
      <c r="T48" s="2"/>
      <c r="U48" s="2"/>
      <c r="V48" s="2"/>
      <c r="W48" s="2"/>
      <c r="X48" s="2"/>
      <c r="Y48" s="2"/>
      <c r="Z48" s="2"/>
    </row>
    <row r="49" spans="1:26" ht="35.25" customHeight="1">
      <c r="A49" s="90" t="s">
        <v>61</v>
      </c>
      <c r="B49" s="50"/>
      <c r="C49" s="50"/>
      <c r="D49" s="50"/>
      <c r="E49" s="50"/>
      <c r="F49" s="51"/>
      <c r="G49" s="2"/>
      <c r="H49" s="2"/>
      <c r="I49" s="2"/>
      <c r="J49" s="2"/>
      <c r="K49" s="2"/>
      <c r="L49" s="2"/>
      <c r="M49" s="2"/>
      <c r="N49" s="2"/>
      <c r="O49" s="2"/>
      <c r="P49" s="2"/>
      <c r="Q49" s="2"/>
      <c r="R49" s="2"/>
      <c r="S49" s="2"/>
      <c r="T49" s="2"/>
      <c r="U49" s="2"/>
      <c r="V49" s="2"/>
      <c r="W49" s="2"/>
      <c r="X49" s="2"/>
      <c r="Y49" s="2"/>
      <c r="Z49" s="2"/>
    </row>
    <row r="50" spans="1:26" ht="35.25" customHeight="1">
      <c r="A50" s="90" t="s">
        <v>62</v>
      </c>
      <c r="B50" s="50"/>
      <c r="C50" s="50"/>
      <c r="D50" s="50"/>
      <c r="E50" s="50"/>
      <c r="F50" s="51"/>
      <c r="G50" s="2"/>
      <c r="H50" s="2"/>
      <c r="I50" s="2"/>
      <c r="J50" s="2"/>
      <c r="K50" s="2"/>
      <c r="L50" s="2"/>
      <c r="M50" s="2"/>
      <c r="N50" s="2"/>
      <c r="O50" s="2"/>
      <c r="P50" s="2"/>
      <c r="Q50" s="2"/>
      <c r="R50" s="2"/>
      <c r="S50" s="2"/>
      <c r="T50" s="2"/>
      <c r="U50" s="2"/>
      <c r="V50" s="2"/>
      <c r="W50" s="2"/>
      <c r="X50" s="2"/>
      <c r="Y50" s="2"/>
      <c r="Z50" s="2"/>
    </row>
    <row r="51" spans="1:26" ht="35.25" customHeight="1">
      <c r="A51" s="89" t="s">
        <v>63</v>
      </c>
      <c r="B51" s="50"/>
      <c r="C51" s="50"/>
      <c r="D51" s="50"/>
      <c r="E51" s="50"/>
      <c r="F51" s="51"/>
      <c r="G51" s="2"/>
      <c r="H51" s="2"/>
      <c r="I51" s="2"/>
      <c r="J51" s="2"/>
      <c r="K51" s="2"/>
      <c r="L51" s="2"/>
      <c r="M51" s="2"/>
      <c r="N51" s="2"/>
      <c r="O51" s="2"/>
      <c r="P51" s="2"/>
      <c r="Q51" s="2"/>
      <c r="R51" s="2"/>
      <c r="S51" s="2"/>
      <c r="T51" s="2"/>
      <c r="U51" s="2"/>
      <c r="V51" s="2"/>
      <c r="W51" s="2"/>
      <c r="X51" s="2"/>
      <c r="Y51" s="2"/>
      <c r="Z51" s="2"/>
    </row>
    <row r="52" spans="1:26" ht="35.25" customHeight="1">
      <c r="A52" s="90" t="s">
        <v>64</v>
      </c>
      <c r="B52" s="50"/>
      <c r="C52" s="50"/>
      <c r="D52" s="50"/>
      <c r="E52" s="50"/>
      <c r="F52" s="51"/>
      <c r="G52" s="2"/>
      <c r="H52" s="2"/>
      <c r="I52" s="2"/>
      <c r="J52" s="2"/>
      <c r="K52" s="2"/>
      <c r="L52" s="2"/>
      <c r="M52" s="2"/>
      <c r="N52" s="2"/>
      <c r="O52" s="2"/>
      <c r="P52" s="2"/>
      <c r="Q52" s="2"/>
      <c r="R52" s="2"/>
      <c r="S52" s="2"/>
      <c r="T52" s="2"/>
      <c r="U52" s="2"/>
      <c r="V52" s="2"/>
      <c r="W52" s="2"/>
      <c r="X52" s="2"/>
      <c r="Y52" s="2"/>
      <c r="Z52" s="2"/>
    </row>
    <row r="53" spans="1:26" ht="19.5" customHeight="1">
      <c r="A53" s="105" t="s">
        <v>65</v>
      </c>
      <c r="B53" s="102"/>
      <c r="C53" s="102"/>
      <c r="D53" s="102"/>
      <c r="E53" s="102"/>
      <c r="F53" s="103"/>
    </row>
    <row r="54" spans="1:26" ht="19.5" customHeight="1">
      <c r="A54" s="106" t="s">
        <v>66</v>
      </c>
      <c r="B54" s="50"/>
      <c r="C54" s="50"/>
      <c r="D54" s="51"/>
      <c r="E54" s="3">
        <v>5</v>
      </c>
      <c r="F54" s="4" t="s">
        <v>67</v>
      </c>
    </row>
    <row r="55" spans="1:26" ht="19.5" customHeight="1">
      <c r="A55" s="106" t="s">
        <v>68</v>
      </c>
      <c r="B55" s="50"/>
      <c r="C55" s="50"/>
      <c r="D55" s="51"/>
      <c r="E55" s="3">
        <v>4</v>
      </c>
      <c r="F55" s="4" t="s">
        <v>69</v>
      </c>
    </row>
    <row r="56" spans="1:26" ht="19.5" customHeight="1">
      <c r="A56" s="106" t="s">
        <v>70</v>
      </c>
      <c r="B56" s="50"/>
      <c r="C56" s="50"/>
      <c r="D56" s="51"/>
      <c r="E56" s="3">
        <v>3</v>
      </c>
      <c r="F56" s="4" t="s">
        <v>71</v>
      </c>
    </row>
    <row r="57" spans="1:26" ht="19.5" customHeight="1">
      <c r="A57" s="106" t="s">
        <v>72</v>
      </c>
      <c r="B57" s="50"/>
      <c r="C57" s="50"/>
      <c r="D57" s="51"/>
      <c r="E57" s="3">
        <v>2</v>
      </c>
      <c r="F57" s="4" t="s">
        <v>73</v>
      </c>
    </row>
    <row r="58" spans="1:26" ht="19.5" customHeight="1">
      <c r="A58" s="106" t="s">
        <v>74</v>
      </c>
      <c r="B58" s="50"/>
      <c r="C58" s="50"/>
      <c r="D58" s="51"/>
      <c r="E58" s="3">
        <v>1</v>
      </c>
      <c r="F58" s="4" t="s">
        <v>75</v>
      </c>
    </row>
    <row r="59" spans="1:26" ht="19.5" customHeight="1">
      <c r="A59" s="101" t="s">
        <v>76</v>
      </c>
      <c r="B59" s="102"/>
      <c r="C59" s="102"/>
      <c r="D59" s="102"/>
      <c r="E59" s="102"/>
      <c r="F59" s="103"/>
    </row>
    <row r="60" spans="1:26" ht="49.5" customHeight="1">
      <c r="A60" s="107" t="s">
        <v>77</v>
      </c>
      <c r="B60" s="50"/>
      <c r="C60" s="50"/>
      <c r="D60" s="50"/>
      <c r="E60" s="50"/>
      <c r="F60" s="51"/>
    </row>
    <row r="61" spans="1:26" ht="19.5" customHeight="1">
      <c r="A61" s="108" t="s">
        <v>78</v>
      </c>
      <c r="B61" s="102"/>
      <c r="C61" s="102"/>
      <c r="D61" s="102"/>
      <c r="E61" s="102"/>
      <c r="F61" s="103"/>
    </row>
    <row r="62" spans="1:26" ht="19.5" customHeight="1">
      <c r="A62" s="109" t="s">
        <v>79</v>
      </c>
      <c r="B62" s="92"/>
      <c r="C62" s="92"/>
      <c r="D62" s="93"/>
      <c r="E62" s="110" t="s">
        <v>80</v>
      </c>
      <c r="F62" s="51"/>
    </row>
    <row r="63" spans="1:26" ht="19.5" customHeight="1">
      <c r="A63" s="97"/>
      <c r="B63" s="98"/>
      <c r="C63" s="98"/>
      <c r="D63" s="99"/>
      <c r="E63" s="5" t="s">
        <v>81</v>
      </c>
      <c r="F63" s="6" t="s">
        <v>82</v>
      </c>
    </row>
    <row r="64" spans="1:26" ht="19.5" customHeight="1">
      <c r="A64" s="111" t="s">
        <v>83</v>
      </c>
      <c r="B64" s="50"/>
      <c r="C64" s="50"/>
      <c r="D64" s="51"/>
      <c r="E64" s="7">
        <v>0</v>
      </c>
      <c r="F64" s="8">
        <v>0</v>
      </c>
    </row>
    <row r="65" spans="1:6" ht="19.5" customHeight="1">
      <c r="A65" s="111" t="s">
        <v>84</v>
      </c>
      <c r="B65" s="50"/>
      <c r="C65" s="50"/>
      <c r="D65" s="51"/>
      <c r="E65" s="3">
        <v>0</v>
      </c>
      <c r="F65" s="9">
        <v>0</v>
      </c>
    </row>
    <row r="66" spans="1:6" ht="19.5" customHeight="1">
      <c r="A66" s="113" t="s">
        <v>85</v>
      </c>
      <c r="B66" s="50"/>
      <c r="C66" s="50"/>
      <c r="D66" s="51"/>
      <c r="E66" s="3">
        <v>0</v>
      </c>
      <c r="F66" s="9">
        <v>0</v>
      </c>
    </row>
    <row r="67" spans="1:6" ht="19.5" customHeight="1">
      <c r="A67" s="113" t="s">
        <v>86</v>
      </c>
      <c r="B67" s="50"/>
      <c r="C67" s="50"/>
      <c r="D67" s="51"/>
      <c r="E67" s="3">
        <v>0</v>
      </c>
      <c r="F67" s="9">
        <v>0</v>
      </c>
    </row>
    <row r="68" spans="1:6" ht="19.5" customHeight="1">
      <c r="A68" s="113" t="s">
        <v>87</v>
      </c>
      <c r="B68" s="50"/>
      <c r="C68" s="50"/>
      <c r="D68" s="51"/>
      <c r="E68" s="3">
        <v>0</v>
      </c>
      <c r="F68" s="9">
        <v>0</v>
      </c>
    </row>
    <row r="69" spans="1:6" ht="19.5" customHeight="1">
      <c r="A69" s="114" t="s">
        <v>88</v>
      </c>
      <c r="B69" s="87"/>
      <c r="C69" s="87"/>
      <c r="D69" s="88"/>
      <c r="E69" s="15">
        <v>0</v>
      </c>
      <c r="F69" s="16">
        <v>0</v>
      </c>
    </row>
    <row r="70" spans="1:6" ht="19.5" customHeight="1">
      <c r="A70" s="115" t="s">
        <v>89</v>
      </c>
      <c r="B70" s="87"/>
      <c r="C70" s="87"/>
      <c r="D70" s="88"/>
      <c r="E70" s="15"/>
      <c r="F70" s="16"/>
    </row>
    <row r="71" spans="1:6" ht="19.5" customHeight="1">
      <c r="A71" s="114" t="s">
        <v>90</v>
      </c>
      <c r="B71" s="87"/>
      <c r="C71" s="87"/>
      <c r="D71" s="88"/>
      <c r="E71" s="15"/>
      <c r="F71" s="16"/>
    </row>
    <row r="72" spans="1:6" ht="19.5" customHeight="1">
      <c r="A72" s="101" t="s">
        <v>91</v>
      </c>
      <c r="B72" s="102"/>
      <c r="C72" s="102"/>
      <c r="D72" s="102"/>
      <c r="E72" s="102"/>
      <c r="F72" s="103"/>
    </row>
    <row r="73" spans="1:6" ht="41.25" customHeight="1">
      <c r="A73" s="100" t="s">
        <v>92</v>
      </c>
      <c r="B73" s="50"/>
      <c r="C73" s="50"/>
      <c r="D73" s="50"/>
      <c r="E73" s="50"/>
      <c r="F73" s="51"/>
    </row>
    <row r="74" spans="1:6" ht="19.5" customHeight="1">
      <c r="A74" s="108" t="s">
        <v>93</v>
      </c>
      <c r="B74" s="102"/>
      <c r="C74" s="102"/>
      <c r="D74" s="102"/>
      <c r="E74" s="102"/>
      <c r="F74" s="103"/>
    </row>
    <row r="75" spans="1:6" ht="39.75" customHeight="1">
      <c r="A75" s="112" t="s">
        <v>94</v>
      </c>
      <c r="B75" s="87"/>
      <c r="C75" s="87"/>
      <c r="D75" s="87"/>
      <c r="E75" s="87"/>
      <c r="F75" s="88"/>
    </row>
    <row r="76" spans="1:6" ht="39.75" customHeight="1">
      <c r="A76" s="112" t="s">
        <v>95</v>
      </c>
      <c r="B76" s="87"/>
      <c r="C76" s="87"/>
      <c r="D76" s="87"/>
      <c r="E76" s="87"/>
      <c r="F76" s="88"/>
    </row>
    <row r="77" spans="1:6" ht="19.5" customHeight="1">
      <c r="A77" s="108" t="s">
        <v>96</v>
      </c>
      <c r="B77" s="102"/>
      <c r="C77" s="102"/>
      <c r="D77" s="102"/>
      <c r="E77" s="102"/>
      <c r="F77" s="103"/>
    </row>
    <row r="78" spans="1:6" ht="19.5" customHeight="1">
      <c r="A78" s="116" t="s">
        <v>97</v>
      </c>
      <c r="B78" s="92"/>
      <c r="C78" s="93"/>
      <c r="D78" s="117" t="s">
        <v>98</v>
      </c>
      <c r="E78" s="116" t="s">
        <v>99</v>
      </c>
      <c r="F78" s="93"/>
    </row>
    <row r="79" spans="1:6" ht="19.5" customHeight="1">
      <c r="A79" s="94"/>
      <c r="B79" s="95"/>
      <c r="C79" s="96"/>
      <c r="D79" s="118"/>
      <c r="E79" s="94"/>
      <c r="F79" s="96"/>
    </row>
    <row r="80" spans="1:6" ht="19.5" customHeight="1">
      <c r="A80" s="97"/>
      <c r="B80" s="98"/>
      <c r="C80" s="99"/>
      <c r="D80" s="119"/>
      <c r="E80" s="97"/>
      <c r="F80" s="99"/>
    </row>
    <row r="81" spans="1:1" ht="19.5" customHeight="1">
      <c r="A81" s="10"/>
    </row>
    <row r="82" spans="1:1" ht="19.5" customHeight="1"/>
    <row r="83" spans="1:1" ht="19.5" customHeight="1"/>
    <row r="84" spans="1:1" ht="19.5" customHeight="1"/>
    <row r="85" spans="1:1" ht="19.5" customHeight="1"/>
    <row r="86" spans="1:1" ht="19.5" customHeight="1"/>
    <row r="87" spans="1:1" ht="19.5" customHeight="1"/>
    <row r="88" spans="1:1" ht="19.5" customHeight="1"/>
    <row r="89" spans="1:1" ht="19.5" customHeight="1"/>
    <row r="90" spans="1:1" ht="19.5" customHeight="1"/>
    <row r="91" spans="1:1" ht="19.5" customHeight="1"/>
    <row r="92" spans="1:1" ht="19.5" customHeight="1"/>
    <row r="93" spans="1:1" ht="19.5" customHeight="1"/>
    <row r="94" spans="1:1" ht="19.5" customHeight="1"/>
    <row r="95" spans="1:1" ht="19.5" customHeight="1"/>
    <row r="96" spans="1:1"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row r="1001" ht="19.5" customHeight="1"/>
    <row r="1002" ht="19.5" customHeight="1"/>
  </sheetData>
  <mergeCells count="85">
    <mergeCell ref="A35:F35"/>
    <mergeCell ref="A41:F41"/>
    <mergeCell ref="A42:F42"/>
    <mergeCell ref="A43:F43"/>
    <mergeCell ref="A44:F44"/>
    <mergeCell ref="A36:F36"/>
    <mergeCell ref="A37:F37"/>
    <mergeCell ref="A38:F38"/>
    <mergeCell ref="A39:F39"/>
    <mergeCell ref="A40:F40"/>
    <mergeCell ref="A30:F30"/>
    <mergeCell ref="A31:F31"/>
    <mergeCell ref="A32:F32"/>
    <mergeCell ref="A33:F33"/>
    <mergeCell ref="A34:F34"/>
    <mergeCell ref="A6:F6"/>
    <mergeCell ref="A7:F7"/>
    <mergeCell ref="E13:F13"/>
    <mergeCell ref="A16:F16"/>
    <mergeCell ref="A17:F17"/>
    <mergeCell ref="A8:F8"/>
    <mergeCell ref="A9:F9"/>
    <mergeCell ref="B10:C10"/>
    <mergeCell ref="E10:F10"/>
    <mergeCell ref="B11:C11"/>
    <mergeCell ref="E11:F11"/>
    <mergeCell ref="E12:F12"/>
    <mergeCell ref="B12:C12"/>
    <mergeCell ref="B13:C13"/>
    <mergeCell ref="B14:C14"/>
    <mergeCell ref="B15:C15"/>
    <mergeCell ref="A1:F1"/>
    <mergeCell ref="A2:F2"/>
    <mergeCell ref="A3:F3"/>
    <mergeCell ref="A4:F4"/>
    <mergeCell ref="A5:F5"/>
    <mergeCell ref="A76:F76"/>
    <mergeCell ref="A77:F77"/>
    <mergeCell ref="A78:C80"/>
    <mergeCell ref="D78:D80"/>
    <mergeCell ref="E78:F80"/>
    <mergeCell ref="A64:D64"/>
    <mergeCell ref="A65:D65"/>
    <mergeCell ref="A73:F73"/>
    <mergeCell ref="A74:F74"/>
    <mergeCell ref="A75:F75"/>
    <mergeCell ref="A66:D66"/>
    <mergeCell ref="A67:D67"/>
    <mergeCell ref="A68:D68"/>
    <mergeCell ref="A69:D69"/>
    <mergeCell ref="A70:D70"/>
    <mergeCell ref="A71:D71"/>
    <mergeCell ref="A72:F72"/>
    <mergeCell ref="A58:D58"/>
    <mergeCell ref="A59:F59"/>
    <mergeCell ref="A60:F60"/>
    <mergeCell ref="A61:F61"/>
    <mergeCell ref="A62:D63"/>
    <mergeCell ref="E62:F62"/>
    <mergeCell ref="A53:F53"/>
    <mergeCell ref="A54:D54"/>
    <mergeCell ref="A55:D55"/>
    <mergeCell ref="A56:D56"/>
    <mergeCell ref="A57:D57"/>
    <mergeCell ref="A48:F48"/>
    <mergeCell ref="A49:F49"/>
    <mergeCell ref="A50:F50"/>
    <mergeCell ref="A51:F51"/>
    <mergeCell ref="A52:F52"/>
    <mergeCell ref="E14:F14"/>
    <mergeCell ref="E15:F15"/>
    <mergeCell ref="A45:F45"/>
    <mergeCell ref="A46:F46"/>
    <mergeCell ref="A47:F47"/>
    <mergeCell ref="B18:D21"/>
    <mergeCell ref="E18:F21"/>
    <mergeCell ref="B22:D25"/>
    <mergeCell ref="E22:F22"/>
    <mergeCell ref="E23:F23"/>
    <mergeCell ref="E24:F24"/>
    <mergeCell ref="E25:F25"/>
    <mergeCell ref="A26:F26"/>
    <mergeCell ref="A27:F27"/>
    <mergeCell ref="A28:F28"/>
    <mergeCell ref="A29:F29"/>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4"/>
  <sheetViews>
    <sheetView tabSelected="1" topLeftCell="A81" zoomScale="64" zoomScaleNormal="64" workbookViewId="0">
      <selection activeCell="D95" sqref="D95"/>
    </sheetView>
  </sheetViews>
  <sheetFormatPr defaultColWidth="14.453125" defaultRowHeight="15" customHeight="1"/>
  <cols>
    <col min="1" max="1" width="36" bestFit="1" customWidth="1"/>
    <col min="2" max="2" width="93" customWidth="1"/>
    <col min="3" max="3" width="45.7265625" customWidth="1"/>
    <col min="4" max="4" width="19" customWidth="1"/>
    <col min="5" max="5" width="33.453125" customWidth="1"/>
    <col min="6" max="6" width="28.54296875" customWidth="1"/>
    <col min="7" max="17" width="9.1796875" customWidth="1"/>
    <col min="18" max="19" width="8.6328125" customWidth="1"/>
    <col min="20" max="20" width="25.81640625" customWidth="1"/>
    <col min="21" max="21" width="53.453125" customWidth="1"/>
    <col min="22" max="22" width="58.36328125" customWidth="1"/>
    <col min="23" max="23" width="16.81640625" customWidth="1"/>
    <col min="24" max="26" width="8.6328125" customWidth="1"/>
  </cols>
  <sheetData>
    <row r="1" spans="1:26" ht="19.5" customHeight="1">
      <c r="A1" s="49" t="s">
        <v>214</v>
      </c>
      <c r="B1" s="50"/>
      <c r="C1" s="50"/>
      <c r="D1" s="50"/>
      <c r="E1" s="50"/>
      <c r="F1" s="51"/>
      <c r="G1" s="11"/>
      <c r="H1" s="11"/>
      <c r="I1" s="11"/>
      <c r="J1" s="11"/>
      <c r="K1" s="11"/>
      <c r="L1" s="11"/>
      <c r="M1" s="11"/>
      <c r="N1" s="11"/>
      <c r="O1" s="11"/>
      <c r="P1" s="11"/>
      <c r="Q1" s="11"/>
      <c r="R1" s="11"/>
      <c r="S1" s="11"/>
      <c r="T1" s="12" t="s">
        <v>100</v>
      </c>
      <c r="U1" s="13" t="s">
        <v>101</v>
      </c>
      <c r="V1" s="14" t="s">
        <v>102</v>
      </c>
      <c r="W1" s="14" t="s">
        <v>227</v>
      </c>
      <c r="X1" s="11"/>
      <c r="Y1" s="11"/>
      <c r="Z1" s="11"/>
    </row>
    <row r="2" spans="1:26" ht="19.5" customHeight="1">
      <c r="A2" s="52" t="s">
        <v>103</v>
      </c>
      <c r="B2" s="50"/>
      <c r="C2" s="50"/>
      <c r="D2" s="50"/>
      <c r="E2" s="50"/>
      <c r="F2" s="51"/>
      <c r="G2" s="11"/>
      <c r="H2" s="11"/>
      <c r="I2" s="11"/>
      <c r="J2" s="11"/>
      <c r="K2" s="11"/>
      <c r="L2" s="11"/>
      <c r="M2" s="11"/>
      <c r="N2" s="11"/>
      <c r="O2" s="11"/>
      <c r="P2" s="11"/>
      <c r="Q2" s="11"/>
      <c r="R2" s="11"/>
      <c r="S2" s="11"/>
      <c r="T2" s="12" t="s">
        <v>104</v>
      </c>
      <c r="U2" s="13" t="s">
        <v>105</v>
      </c>
      <c r="V2" s="14" t="s">
        <v>102</v>
      </c>
      <c r="W2" s="14" t="s">
        <v>106</v>
      </c>
      <c r="X2" s="11"/>
      <c r="Y2" s="11"/>
      <c r="Z2" s="11"/>
    </row>
    <row r="3" spans="1:26" s="25" customFormat="1" ht="19.5" customHeight="1">
      <c r="A3" s="20" t="s">
        <v>9</v>
      </c>
      <c r="B3" s="21"/>
      <c r="C3" s="20" t="s">
        <v>11</v>
      </c>
      <c r="D3" s="53"/>
      <c r="E3" s="54"/>
      <c r="F3" s="55"/>
      <c r="G3" s="22"/>
      <c r="H3" s="22"/>
      <c r="I3" s="22"/>
      <c r="J3" s="22"/>
      <c r="K3" s="22"/>
      <c r="L3" s="22"/>
      <c r="M3" s="22"/>
      <c r="N3" s="22"/>
      <c r="O3" s="22"/>
      <c r="P3" s="22"/>
      <c r="Q3" s="22"/>
      <c r="R3" s="22"/>
      <c r="S3" s="22"/>
      <c r="T3" s="23" t="s">
        <v>107</v>
      </c>
      <c r="U3" s="24" t="s">
        <v>108</v>
      </c>
      <c r="V3" s="24" t="s">
        <v>109</v>
      </c>
      <c r="W3" s="24" t="s">
        <v>110</v>
      </c>
      <c r="X3" s="22"/>
      <c r="Y3" s="22"/>
      <c r="Z3" s="22"/>
    </row>
    <row r="4" spans="1:26" s="25" customFormat="1" ht="19.5" customHeight="1">
      <c r="A4" s="20" t="s">
        <v>111</v>
      </c>
      <c r="B4" s="26"/>
      <c r="C4" s="20" t="s">
        <v>112</v>
      </c>
      <c r="D4" s="53"/>
      <c r="E4" s="56"/>
      <c r="F4" s="57"/>
      <c r="G4" s="22"/>
      <c r="H4" s="22"/>
      <c r="I4" s="22"/>
      <c r="J4" s="22"/>
      <c r="K4" s="22"/>
      <c r="L4" s="22"/>
      <c r="M4" s="22"/>
      <c r="N4" s="22"/>
      <c r="O4" s="22"/>
      <c r="P4" s="22"/>
      <c r="Q4" s="22"/>
      <c r="R4" s="22"/>
      <c r="S4" s="22"/>
      <c r="T4" s="23" t="s">
        <v>113</v>
      </c>
      <c r="U4" s="24" t="s">
        <v>114</v>
      </c>
      <c r="V4" s="24" t="s">
        <v>115</v>
      </c>
      <c r="W4" s="24" t="s">
        <v>116</v>
      </c>
      <c r="X4" s="22"/>
      <c r="Y4" s="22"/>
      <c r="Z4" s="22"/>
    </row>
    <row r="5" spans="1:26" s="25" customFormat="1" ht="19.5" customHeight="1">
      <c r="A5" s="20" t="s">
        <v>117</v>
      </c>
      <c r="B5" s="27"/>
      <c r="C5" s="20" t="s">
        <v>118</v>
      </c>
      <c r="D5" s="43"/>
      <c r="E5" s="28"/>
      <c r="F5" s="29"/>
      <c r="G5" s="22"/>
      <c r="H5" s="22"/>
      <c r="I5" s="22"/>
      <c r="J5" s="22"/>
      <c r="K5" s="22"/>
      <c r="L5" s="22"/>
      <c r="M5" s="22"/>
      <c r="N5" s="22"/>
      <c r="O5" s="22"/>
      <c r="P5" s="22"/>
      <c r="Q5" s="22"/>
      <c r="R5" s="22"/>
      <c r="S5" s="22"/>
      <c r="T5" s="23" t="s">
        <v>119</v>
      </c>
      <c r="U5" s="24" t="s">
        <v>120</v>
      </c>
      <c r="V5" s="24" t="s">
        <v>121</v>
      </c>
      <c r="W5" s="24" t="s">
        <v>110</v>
      </c>
      <c r="X5" s="22"/>
      <c r="Y5" s="22"/>
      <c r="Z5" s="22"/>
    </row>
    <row r="6" spans="1:26" s="25" customFormat="1" ht="19.5" customHeight="1">
      <c r="A6" s="20" t="s">
        <v>19</v>
      </c>
      <c r="B6" s="44"/>
      <c r="C6" s="20" t="s">
        <v>122</v>
      </c>
      <c r="D6" s="43"/>
      <c r="E6" s="28"/>
      <c r="F6" s="29"/>
      <c r="G6" s="22"/>
      <c r="H6" s="22"/>
      <c r="I6" s="22"/>
      <c r="J6" s="22"/>
      <c r="K6" s="22"/>
      <c r="L6" s="22"/>
      <c r="M6" s="22"/>
      <c r="N6" s="22"/>
      <c r="O6" s="22"/>
      <c r="P6" s="22"/>
      <c r="Q6" s="22"/>
      <c r="R6" s="22"/>
      <c r="S6" s="22"/>
      <c r="T6" s="23" t="s">
        <v>123</v>
      </c>
      <c r="U6" s="24" t="s">
        <v>124</v>
      </c>
      <c r="V6" s="24" t="s">
        <v>125</v>
      </c>
      <c r="W6" s="24" t="s">
        <v>116</v>
      </c>
      <c r="X6" s="22"/>
      <c r="Y6" s="22"/>
      <c r="Z6" s="22"/>
    </row>
    <row r="7" spans="1:26" s="25" customFormat="1" ht="19.5" customHeight="1">
      <c r="A7" s="20" t="s">
        <v>218</v>
      </c>
      <c r="B7" s="26"/>
      <c r="C7" s="20" t="s">
        <v>219</v>
      </c>
      <c r="D7" s="53"/>
      <c r="E7" s="54"/>
      <c r="F7" s="55"/>
      <c r="G7" s="22"/>
      <c r="H7" s="22"/>
      <c r="I7" s="22"/>
      <c r="J7" s="22"/>
      <c r="K7" s="22"/>
      <c r="L7" s="22"/>
      <c r="M7" s="22"/>
      <c r="N7" s="22"/>
      <c r="O7" s="22"/>
      <c r="P7" s="22"/>
      <c r="Q7" s="22"/>
      <c r="R7" s="22"/>
      <c r="S7" s="22"/>
      <c r="T7" s="22"/>
      <c r="U7" s="24"/>
      <c r="V7" s="24"/>
      <c r="W7" s="24"/>
      <c r="X7" s="22"/>
      <c r="Y7" s="22"/>
      <c r="Z7" s="22"/>
    </row>
    <row r="8" spans="1:26" s="25" customFormat="1" ht="19.5" customHeight="1">
      <c r="A8" s="20" t="s">
        <v>220</v>
      </c>
      <c r="B8" s="26"/>
      <c r="C8" s="20" t="s">
        <v>221</v>
      </c>
      <c r="D8" s="53"/>
      <c r="E8" s="54"/>
      <c r="F8" s="55"/>
      <c r="G8" s="22"/>
      <c r="H8" s="22"/>
      <c r="I8" s="22"/>
      <c r="J8" s="22"/>
      <c r="K8" s="22"/>
      <c r="L8" s="22"/>
      <c r="M8" s="22"/>
      <c r="N8" s="22"/>
      <c r="O8" s="22"/>
      <c r="P8" s="22"/>
      <c r="Q8" s="22"/>
      <c r="R8" s="22"/>
      <c r="S8" s="22"/>
      <c r="T8" s="22"/>
      <c r="U8" s="24"/>
      <c r="V8" s="24"/>
      <c r="W8" s="24"/>
      <c r="X8" s="22"/>
      <c r="Y8" s="22"/>
      <c r="Z8" s="22"/>
    </row>
    <row r="9" spans="1:26" s="25" customFormat="1" ht="19.5" customHeight="1">
      <c r="A9" s="58" t="s">
        <v>215</v>
      </c>
      <c r="B9" s="59"/>
      <c r="C9" s="59"/>
      <c r="D9" s="59"/>
      <c r="E9" s="59"/>
      <c r="F9" s="47"/>
      <c r="G9" s="22"/>
      <c r="H9" s="22"/>
      <c r="I9" s="22"/>
      <c r="J9" s="22"/>
      <c r="K9" s="22"/>
      <c r="L9" s="22"/>
      <c r="M9" s="22"/>
      <c r="N9" s="22"/>
      <c r="O9" s="22"/>
      <c r="P9" s="22"/>
      <c r="Q9" s="22"/>
      <c r="R9" s="22"/>
      <c r="S9" s="22"/>
      <c r="T9" s="22"/>
      <c r="U9" s="24" t="s">
        <v>126</v>
      </c>
      <c r="V9" s="24" t="s">
        <v>127</v>
      </c>
      <c r="W9" s="24" t="s">
        <v>228</v>
      </c>
      <c r="X9" s="22"/>
      <c r="Y9" s="22"/>
      <c r="Z9" s="22"/>
    </row>
    <row r="10" spans="1:26" s="25" customFormat="1" ht="31.5" customHeight="1">
      <c r="A10" s="60" t="s">
        <v>128</v>
      </c>
      <c r="B10" s="59"/>
      <c r="C10" s="59"/>
      <c r="D10" s="59"/>
      <c r="E10" s="59"/>
      <c r="F10" s="47"/>
      <c r="G10" s="22"/>
      <c r="H10" s="22"/>
      <c r="I10" s="22"/>
      <c r="J10" s="22"/>
      <c r="K10" s="22"/>
      <c r="L10" s="22"/>
      <c r="M10" s="22"/>
      <c r="N10" s="22"/>
      <c r="O10" s="22"/>
      <c r="P10" s="22"/>
      <c r="Q10" s="22"/>
      <c r="R10" s="22"/>
      <c r="S10" s="22"/>
      <c r="T10" s="22"/>
      <c r="U10" s="24" t="s">
        <v>229</v>
      </c>
      <c r="V10" s="24" t="s">
        <v>129</v>
      </c>
      <c r="W10" s="24" t="s">
        <v>230</v>
      </c>
      <c r="X10" s="22"/>
      <c r="Y10" s="22"/>
      <c r="Z10" s="22"/>
    </row>
    <row r="11" spans="1:26" s="25" customFormat="1" ht="19.5" customHeight="1">
      <c r="A11" s="61" t="s">
        <v>130</v>
      </c>
      <c r="B11" s="47"/>
      <c r="C11" s="61" t="s">
        <v>81</v>
      </c>
      <c r="D11" s="47"/>
      <c r="E11" s="61" t="s">
        <v>131</v>
      </c>
      <c r="F11" s="47"/>
      <c r="G11" s="22"/>
      <c r="H11" s="22"/>
      <c r="I11" s="22"/>
      <c r="J11" s="22"/>
      <c r="K11" s="22"/>
      <c r="L11" s="22"/>
      <c r="M11" s="22"/>
      <c r="N11" s="22"/>
      <c r="O11" s="22"/>
      <c r="P11" s="22"/>
      <c r="Q11" s="22"/>
      <c r="R11" s="22"/>
      <c r="S11" s="22"/>
      <c r="T11" s="22"/>
      <c r="U11" s="24" t="s">
        <v>231</v>
      </c>
      <c r="V11" s="24" t="s">
        <v>232</v>
      </c>
      <c r="W11" s="24" t="s">
        <v>106</v>
      </c>
      <c r="X11" s="22"/>
      <c r="Y11" s="22"/>
      <c r="Z11" s="22"/>
    </row>
    <row r="12" spans="1:26" s="25" customFormat="1" ht="19.5" customHeight="1">
      <c r="A12" s="20" t="s">
        <v>23</v>
      </c>
      <c r="B12" s="23"/>
      <c r="C12" s="23"/>
      <c r="D12" s="30"/>
      <c r="E12" s="23"/>
      <c r="F12" s="30"/>
      <c r="G12" s="22"/>
      <c r="H12" s="22"/>
      <c r="I12" s="22"/>
      <c r="J12" s="22"/>
      <c r="K12" s="22"/>
      <c r="L12" s="22"/>
      <c r="M12" s="22"/>
      <c r="N12" s="22"/>
      <c r="O12" s="22"/>
      <c r="P12" s="22"/>
      <c r="Q12" s="22"/>
      <c r="R12" s="22"/>
      <c r="S12" s="22"/>
      <c r="T12" s="22"/>
      <c r="U12" s="24" t="s">
        <v>132</v>
      </c>
      <c r="V12" s="24" t="s">
        <v>133</v>
      </c>
      <c r="W12" s="24" t="s">
        <v>110</v>
      </c>
      <c r="X12" s="22"/>
      <c r="Y12" s="22"/>
      <c r="Z12" s="22"/>
    </row>
    <row r="13" spans="1:26" s="25" customFormat="1" ht="19.5" customHeight="1">
      <c r="A13" s="20" t="s">
        <v>26</v>
      </c>
      <c r="B13" s="23"/>
      <c r="C13" s="23"/>
      <c r="D13" s="30"/>
      <c r="E13" s="23"/>
      <c r="F13" s="30"/>
      <c r="G13" s="22"/>
      <c r="H13" s="22"/>
      <c r="I13" s="22"/>
      <c r="J13" s="22"/>
      <c r="K13" s="22"/>
      <c r="L13" s="22"/>
      <c r="M13" s="22"/>
      <c r="N13" s="22"/>
      <c r="O13" s="22"/>
      <c r="P13" s="22"/>
      <c r="Q13" s="22"/>
      <c r="R13" s="22"/>
      <c r="S13" s="22"/>
      <c r="T13" s="22"/>
      <c r="U13" s="24" t="s">
        <v>236</v>
      </c>
      <c r="V13" s="24" t="s">
        <v>237</v>
      </c>
      <c r="W13" s="24" t="s">
        <v>235</v>
      </c>
      <c r="X13" s="22"/>
      <c r="Y13" s="22"/>
      <c r="Z13" s="22"/>
    </row>
    <row r="14" spans="1:26" s="25" customFormat="1" ht="19.5" customHeight="1">
      <c r="A14" s="20" t="s">
        <v>27</v>
      </c>
      <c r="B14" s="23"/>
      <c r="C14" s="23"/>
      <c r="D14" s="30"/>
      <c r="E14" s="23"/>
      <c r="F14" s="30"/>
      <c r="G14" s="22"/>
      <c r="H14" s="22"/>
      <c r="I14" s="22"/>
      <c r="J14" s="22"/>
      <c r="K14" s="22"/>
      <c r="L14" s="22"/>
      <c r="M14" s="22"/>
      <c r="N14" s="22"/>
      <c r="O14" s="22"/>
      <c r="P14" s="22"/>
      <c r="Q14" s="22"/>
      <c r="R14" s="22"/>
      <c r="S14" s="22"/>
      <c r="T14" s="22"/>
      <c r="U14" s="24" t="s">
        <v>233</v>
      </c>
      <c r="V14" s="24" t="s">
        <v>234</v>
      </c>
      <c r="W14" s="24" t="s">
        <v>235</v>
      </c>
      <c r="X14" s="22"/>
      <c r="Y14" s="22"/>
      <c r="Z14" s="22"/>
    </row>
    <row r="15" spans="1:26" s="25" customFormat="1" ht="19.5" customHeight="1">
      <c r="A15" s="20" t="s">
        <v>28</v>
      </c>
      <c r="B15" s="23"/>
      <c r="C15" s="23"/>
      <c r="D15" s="30"/>
      <c r="E15" s="23"/>
      <c r="F15" s="30"/>
      <c r="G15" s="22"/>
      <c r="H15" s="22"/>
      <c r="I15" s="22"/>
      <c r="J15" s="22"/>
      <c r="K15" s="22"/>
      <c r="L15" s="22"/>
      <c r="M15" s="22"/>
      <c r="N15" s="22"/>
      <c r="O15" s="22"/>
      <c r="P15" s="22"/>
      <c r="Q15" s="22"/>
      <c r="R15" s="22"/>
      <c r="S15" s="22"/>
      <c r="T15" s="22"/>
      <c r="U15" s="24" t="s">
        <v>134</v>
      </c>
      <c r="V15" s="24" t="s">
        <v>135</v>
      </c>
      <c r="W15" s="24" t="s">
        <v>230</v>
      </c>
      <c r="X15" s="22"/>
      <c r="Y15" s="22"/>
      <c r="Z15" s="22"/>
    </row>
    <row r="16" spans="1:26" s="25" customFormat="1" ht="18.5">
      <c r="A16" s="20" t="s">
        <v>29</v>
      </c>
      <c r="B16" s="31"/>
      <c r="C16" s="23"/>
      <c r="D16" s="30"/>
      <c r="E16" s="23"/>
      <c r="F16" s="30"/>
      <c r="G16" s="22"/>
      <c r="H16" s="22"/>
      <c r="I16" s="22"/>
      <c r="J16" s="22"/>
      <c r="K16" s="22"/>
      <c r="L16" s="22"/>
      <c r="M16" s="22"/>
      <c r="N16" s="22"/>
      <c r="O16" s="22"/>
      <c r="P16" s="22"/>
      <c r="Q16" s="22"/>
      <c r="R16" s="22"/>
      <c r="S16" s="22"/>
      <c r="T16" s="22"/>
      <c r="U16" s="24" t="s">
        <v>136</v>
      </c>
      <c r="V16" s="24" t="s">
        <v>137</v>
      </c>
      <c r="W16" s="24" t="s">
        <v>238</v>
      </c>
      <c r="X16" s="22"/>
      <c r="Y16" s="22"/>
      <c r="Z16" s="22"/>
    </row>
    <row r="17" spans="1:26" s="25" customFormat="1" ht="19.5" customHeight="1">
      <c r="A17" s="20" t="s">
        <v>32</v>
      </c>
      <c r="B17" s="31"/>
      <c r="C17" s="23"/>
      <c r="D17" s="30"/>
      <c r="E17" s="23"/>
      <c r="F17" s="30"/>
      <c r="G17" s="22"/>
      <c r="H17" s="22"/>
      <c r="I17" s="22"/>
      <c r="J17" s="22"/>
      <c r="K17" s="22"/>
      <c r="L17" s="22"/>
      <c r="M17" s="22"/>
      <c r="N17" s="22"/>
      <c r="O17" s="22"/>
      <c r="P17" s="22"/>
      <c r="Q17" s="22"/>
      <c r="R17" s="22"/>
      <c r="S17" s="22"/>
      <c r="T17" s="22"/>
      <c r="U17" s="24" t="s">
        <v>139</v>
      </c>
      <c r="V17" s="24" t="s">
        <v>140</v>
      </c>
      <c r="W17" s="24" t="s">
        <v>138</v>
      </c>
      <c r="X17" s="22"/>
      <c r="Y17" s="22"/>
      <c r="Z17" s="22"/>
    </row>
    <row r="18" spans="1:26" s="25" customFormat="1" ht="19.5" customHeight="1">
      <c r="A18" s="20" t="s">
        <v>34</v>
      </c>
      <c r="B18" s="32"/>
      <c r="C18" s="23"/>
      <c r="D18" s="30"/>
      <c r="E18" s="23"/>
      <c r="F18" s="30"/>
      <c r="G18" s="22"/>
      <c r="H18" s="22"/>
      <c r="I18" s="22"/>
      <c r="J18" s="22"/>
      <c r="K18" s="22"/>
      <c r="L18" s="22"/>
      <c r="M18" s="22"/>
      <c r="N18" s="22"/>
      <c r="O18" s="22"/>
      <c r="P18" s="22"/>
      <c r="Q18" s="22"/>
      <c r="R18" s="22"/>
      <c r="S18" s="22"/>
      <c r="T18" s="22"/>
      <c r="U18" s="22"/>
      <c r="V18" s="22"/>
      <c r="W18" s="22"/>
      <c r="X18" s="22"/>
      <c r="Y18" s="22"/>
      <c r="Z18" s="22"/>
    </row>
    <row r="19" spans="1:26" s="25" customFormat="1" ht="19.5" customHeight="1">
      <c r="A19" s="20" t="s">
        <v>36</v>
      </c>
      <c r="B19" s="31"/>
      <c r="C19" s="23"/>
      <c r="D19" s="30"/>
      <c r="E19" s="23"/>
      <c r="F19" s="30"/>
      <c r="G19" s="22"/>
      <c r="H19" s="22"/>
      <c r="I19" s="22"/>
      <c r="J19" s="22"/>
      <c r="K19" s="22"/>
      <c r="L19" s="22"/>
      <c r="M19" s="22"/>
      <c r="N19" s="22"/>
      <c r="O19" s="22"/>
      <c r="P19" s="22"/>
      <c r="Q19" s="22"/>
      <c r="R19" s="22"/>
      <c r="S19" s="22"/>
      <c r="T19" s="22"/>
      <c r="U19" s="22"/>
      <c r="V19" s="22"/>
      <c r="W19" s="22"/>
      <c r="X19" s="22"/>
      <c r="Y19" s="22"/>
      <c r="Z19" s="22"/>
    </row>
    <row r="20" spans="1:26" s="25" customFormat="1" ht="19.5" customHeight="1">
      <c r="A20" s="61" t="s">
        <v>141</v>
      </c>
      <c r="B20" s="47"/>
      <c r="C20" s="20" t="s">
        <v>81</v>
      </c>
      <c r="D20" s="33" t="str">
        <f>IF(SUM(D12:D19)=0,"",SUM(D12:D19))</f>
        <v/>
      </c>
      <c r="E20" s="20" t="s">
        <v>131</v>
      </c>
      <c r="F20" s="33" t="str">
        <f>IF(SUM(F12:F19)=0,"",SUM(F12:F19))</f>
        <v/>
      </c>
      <c r="G20" s="22"/>
      <c r="H20" s="22"/>
      <c r="I20" s="22"/>
      <c r="J20" s="22"/>
      <c r="K20" s="22"/>
      <c r="L20" s="22"/>
      <c r="M20" s="22"/>
      <c r="N20" s="22"/>
      <c r="O20" s="22"/>
      <c r="P20" s="22"/>
      <c r="Q20" s="22"/>
      <c r="R20" s="22"/>
      <c r="S20" s="22"/>
      <c r="T20" s="22"/>
      <c r="U20" s="22"/>
      <c r="V20" s="22"/>
      <c r="W20" s="22"/>
      <c r="X20" s="22"/>
      <c r="Y20" s="22"/>
      <c r="Z20" s="22"/>
    </row>
    <row r="21" spans="1:26" s="25" customFormat="1" ht="19.5" customHeight="1">
      <c r="A21" s="62" t="s">
        <v>239</v>
      </c>
      <c r="B21" s="63"/>
      <c r="C21" s="63"/>
      <c r="D21" s="63"/>
      <c r="E21" s="63"/>
      <c r="F21" s="64"/>
      <c r="G21" s="22"/>
      <c r="H21" s="22"/>
      <c r="I21" s="22"/>
      <c r="J21" s="22"/>
      <c r="K21" s="22"/>
      <c r="L21" s="22"/>
      <c r="M21" s="22"/>
      <c r="N21" s="22"/>
      <c r="O21" s="22"/>
      <c r="P21" s="22"/>
      <c r="Q21" s="22"/>
      <c r="R21" s="22"/>
      <c r="S21" s="22"/>
      <c r="T21" s="22"/>
      <c r="U21" s="22"/>
      <c r="V21" s="22"/>
      <c r="W21" s="22"/>
      <c r="X21" s="22"/>
      <c r="Y21" s="22"/>
      <c r="Z21" s="22"/>
    </row>
    <row r="22" spans="1:26" s="25" customFormat="1" ht="19.5" customHeight="1">
      <c r="A22" s="65"/>
      <c r="B22" s="66"/>
      <c r="C22" s="66"/>
      <c r="D22" s="66"/>
      <c r="E22" s="66"/>
      <c r="F22" s="67"/>
      <c r="G22" s="22"/>
      <c r="H22" s="22"/>
      <c r="I22" s="22"/>
      <c r="J22" s="22"/>
      <c r="K22" s="22"/>
      <c r="L22" s="22"/>
      <c r="M22" s="22"/>
      <c r="N22" s="22"/>
      <c r="O22" s="22"/>
      <c r="P22" s="22"/>
      <c r="Q22" s="22"/>
      <c r="R22" s="22"/>
      <c r="S22" s="22"/>
      <c r="T22" s="22"/>
      <c r="U22" s="22"/>
      <c r="V22" s="22"/>
      <c r="W22" s="22"/>
      <c r="X22" s="22"/>
      <c r="Y22" s="22"/>
      <c r="Z22" s="22"/>
    </row>
    <row r="23" spans="1:26" s="25" customFormat="1" ht="19.5" customHeight="1">
      <c r="A23" s="58" t="s">
        <v>222</v>
      </c>
      <c r="B23" s="59"/>
      <c r="C23" s="59"/>
      <c r="D23" s="59"/>
      <c r="E23" s="59"/>
      <c r="F23" s="47"/>
      <c r="G23" s="22"/>
      <c r="H23" s="22"/>
      <c r="I23" s="22"/>
      <c r="J23" s="22"/>
      <c r="K23" s="22"/>
      <c r="L23" s="22"/>
      <c r="M23" s="22"/>
      <c r="N23" s="22"/>
      <c r="O23" s="22"/>
      <c r="P23" s="22"/>
      <c r="Q23" s="22"/>
      <c r="R23" s="22"/>
      <c r="S23" s="22"/>
      <c r="T23" s="22"/>
      <c r="U23" s="22"/>
      <c r="V23" s="22"/>
      <c r="W23" s="22"/>
      <c r="X23" s="22"/>
      <c r="Y23" s="22"/>
      <c r="Z23" s="22"/>
    </row>
    <row r="24" spans="1:26" s="25" customFormat="1" ht="19.5" customHeight="1">
      <c r="A24" s="46" t="s">
        <v>225</v>
      </c>
      <c r="B24" s="69"/>
      <c r="C24" s="69"/>
      <c r="D24" s="69"/>
      <c r="E24" s="69"/>
      <c r="F24" s="70"/>
      <c r="G24" s="22"/>
      <c r="H24" s="22"/>
      <c r="I24" s="22"/>
      <c r="J24" s="22"/>
      <c r="K24" s="22"/>
      <c r="L24" s="22"/>
      <c r="M24" s="22"/>
      <c r="N24" s="22"/>
      <c r="O24" s="22"/>
      <c r="P24" s="22"/>
      <c r="Q24" s="22"/>
      <c r="R24" s="22"/>
      <c r="S24" s="22"/>
      <c r="T24" s="22"/>
      <c r="U24" s="22"/>
      <c r="V24" s="22"/>
      <c r="W24" s="22"/>
      <c r="X24" s="22"/>
      <c r="Y24" s="22"/>
      <c r="Z24" s="22"/>
    </row>
    <row r="25" spans="1:26" s="25" customFormat="1" ht="19.5" customHeight="1">
      <c r="A25" s="61" t="s">
        <v>142</v>
      </c>
      <c r="B25" s="47"/>
      <c r="C25" s="61" t="s">
        <v>81</v>
      </c>
      <c r="D25" s="47"/>
      <c r="E25" s="61" t="s">
        <v>131</v>
      </c>
      <c r="F25" s="47"/>
      <c r="G25" s="22"/>
      <c r="H25" s="22"/>
      <c r="I25" s="22"/>
      <c r="J25" s="22"/>
      <c r="K25" s="22"/>
      <c r="L25" s="22"/>
      <c r="M25" s="22"/>
      <c r="N25" s="22"/>
      <c r="O25" s="22"/>
      <c r="P25" s="22"/>
      <c r="Q25" s="22"/>
      <c r="R25" s="22"/>
      <c r="S25" s="22"/>
      <c r="T25" s="22"/>
      <c r="U25" s="22"/>
      <c r="V25" s="22"/>
      <c r="W25" s="22"/>
      <c r="X25" s="22"/>
      <c r="Y25" s="22"/>
      <c r="Z25" s="22"/>
    </row>
    <row r="26" spans="1:26" s="25" customFormat="1" ht="19.5" customHeight="1">
      <c r="A26" s="68" t="s">
        <v>40</v>
      </c>
      <c r="B26" s="59"/>
      <c r="C26" s="59"/>
      <c r="D26" s="59"/>
      <c r="E26" s="59"/>
      <c r="F26" s="47"/>
      <c r="G26" s="22"/>
      <c r="H26" s="22"/>
      <c r="I26" s="22"/>
      <c r="J26" s="22"/>
      <c r="K26" s="22"/>
      <c r="L26" s="22"/>
      <c r="M26" s="22"/>
      <c r="N26" s="22"/>
      <c r="O26" s="22"/>
      <c r="P26" s="22"/>
      <c r="Q26" s="22"/>
      <c r="R26" s="22"/>
      <c r="S26" s="22"/>
      <c r="T26" s="22"/>
      <c r="U26" s="22"/>
      <c r="V26" s="22"/>
      <c r="W26" s="22"/>
      <c r="X26" s="22"/>
      <c r="Y26" s="22"/>
      <c r="Z26" s="22"/>
    </row>
    <row r="27" spans="1:26" s="25" customFormat="1" ht="19.5" customHeight="1">
      <c r="A27" s="48" t="s">
        <v>143</v>
      </c>
      <c r="B27" s="47"/>
      <c r="C27" s="46"/>
      <c r="D27" s="47"/>
      <c r="E27" s="46"/>
      <c r="F27" s="47"/>
      <c r="G27" s="22"/>
      <c r="H27" s="22"/>
      <c r="I27" s="22"/>
      <c r="J27" s="22"/>
      <c r="K27" s="22"/>
      <c r="L27" s="22"/>
      <c r="M27" s="22"/>
      <c r="N27" s="22"/>
      <c r="O27" s="22"/>
      <c r="P27" s="22"/>
      <c r="Q27" s="22"/>
      <c r="R27" s="22"/>
      <c r="S27" s="22"/>
      <c r="T27" s="22"/>
      <c r="U27" s="22"/>
      <c r="V27" s="22"/>
      <c r="W27" s="22"/>
      <c r="X27" s="22"/>
      <c r="Y27" s="22"/>
      <c r="Z27" s="22"/>
    </row>
    <row r="28" spans="1:26" s="25" customFormat="1" ht="19.5" customHeight="1">
      <c r="A28" s="48" t="s">
        <v>144</v>
      </c>
      <c r="B28" s="47"/>
      <c r="C28" s="46"/>
      <c r="D28" s="47"/>
      <c r="E28" s="46"/>
      <c r="F28" s="47"/>
      <c r="G28" s="22"/>
      <c r="H28" s="22"/>
      <c r="I28" s="22"/>
      <c r="J28" s="22"/>
      <c r="K28" s="22"/>
      <c r="L28" s="22"/>
      <c r="M28" s="22"/>
      <c r="N28" s="22"/>
      <c r="O28" s="22"/>
      <c r="P28" s="22"/>
      <c r="Q28" s="22"/>
      <c r="R28" s="22"/>
      <c r="S28" s="22"/>
      <c r="T28" s="22"/>
      <c r="U28" s="22"/>
      <c r="V28" s="22"/>
      <c r="W28" s="22"/>
      <c r="X28" s="22"/>
      <c r="Y28" s="22"/>
      <c r="Z28" s="22"/>
    </row>
    <row r="29" spans="1:26" s="25" customFormat="1" ht="19.5" customHeight="1">
      <c r="A29" s="48" t="s">
        <v>145</v>
      </c>
      <c r="B29" s="47"/>
      <c r="C29" s="46"/>
      <c r="D29" s="47"/>
      <c r="E29" s="46"/>
      <c r="F29" s="47"/>
      <c r="G29" s="22"/>
      <c r="H29" s="22"/>
      <c r="I29" s="22"/>
      <c r="J29" s="22"/>
      <c r="K29" s="22"/>
      <c r="L29" s="22"/>
      <c r="M29" s="22"/>
      <c r="N29" s="22"/>
      <c r="O29" s="22"/>
      <c r="P29" s="22"/>
      <c r="Q29" s="22"/>
      <c r="R29" s="22"/>
      <c r="S29" s="22"/>
      <c r="T29" s="22"/>
      <c r="U29" s="22"/>
      <c r="V29" s="22"/>
      <c r="W29" s="22"/>
      <c r="X29" s="22"/>
      <c r="Y29" s="22"/>
      <c r="Z29" s="22"/>
    </row>
    <row r="30" spans="1:26" s="25" customFormat="1" ht="19.5" customHeight="1">
      <c r="A30" s="48" t="s">
        <v>146</v>
      </c>
      <c r="B30" s="47"/>
      <c r="C30" s="46"/>
      <c r="D30" s="47"/>
      <c r="E30" s="46"/>
      <c r="F30" s="47"/>
      <c r="G30" s="22"/>
      <c r="H30" s="22"/>
      <c r="I30" s="22"/>
      <c r="J30" s="22"/>
      <c r="K30" s="22"/>
      <c r="L30" s="22"/>
      <c r="M30" s="22"/>
      <c r="N30" s="22"/>
      <c r="O30" s="22"/>
      <c r="P30" s="22"/>
      <c r="Q30" s="22"/>
      <c r="R30" s="22"/>
      <c r="S30" s="22"/>
      <c r="T30" s="22"/>
      <c r="U30" s="22"/>
      <c r="V30" s="22"/>
      <c r="W30" s="22"/>
      <c r="X30" s="22"/>
      <c r="Y30" s="22"/>
      <c r="Z30" s="22"/>
    </row>
    <row r="31" spans="1:26" s="25" customFormat="1" ht="19.5" customHeight="1">
      <c r="A31" s="48" t="s">
        <v>147</v>
      </c>
      <c r="B31" s="47"/>
      <c r="C31" s="46"/>
      <c r="D31" s="47"/>
      <c r="E31" s="46"/>
      <c r="F31" s="47"/>
      <c r="G31" s="22"/>
      <c r="H31" s="22"/>
      <c r="I31" s="22"/>
      <c r="J31" s="22"/>
      <c r="K31" s="22"/>
      <c r="L31" s="22"/>
      <c r="M31" s="22"/>
      <c r="N31" s="22"/>
      <c r="O31" s="22"/>
      <c r="P31" s="22"/>
      <c r="Q31" s="22"/>
      <c r="R31" s="22"/>
      <c r="S31" s="22"/>
      <c r="T31" s="22"/>
      <c r="U31" s="22"/>
      <c r="V31" s="22"/>
      <c r="W31" s="22"/>
      <c r="X31" s="22"/>
      <c r="Y31" s="22"/>
      <c r="Z31" s="22"/>
    </row>
    <row r="32" spans="1:26" s="25" customFormat="1" ht="19.5" customHeight="1">
      <c r="A32" s="48" t="s">
        <v>148</v>
      </c>
      <c r="B32" s="47"/>
      <c r="C32" s="46"/>
      <c r="D32" s="47"/>
      <c r="E32" s="46"/>
      <c r="F32" s="47"/>
      <c r="G32" s="22"/>
      <c r="H32" s="22"/>
      <c r="I32" s="22"/>
      <c r="J32" s="22"/>
      <c r="K32" s="22"/>
      <c r="L32" s="22"/>
      <c r="M32" s="22"/>
      <c r="N32" s="22"/>
      <c r="O32" s="22"/>
      <c r="P32" s="22"/>
      <c r="Q32" s="22"/>
      <c r="R32" s="22"/>
      <c r="S32" s="22"/>
      <c r="T32" s="22"/>
      <c r="U32" s="22"/>
      <c r="V32" s="22"/>
      <c r="W32" s="22"/>
      <c r="X32" s="22"/>
      <c r="Y32" s="22"/>
      <c r="Z32" s="22"/>
    </row>
    <row r="33" spans="1:26" s="25" customFormat="1" ht="19.5" customHeight="1">
      <c r="A33" s="48" t="s">
        <v>149</v>
      </c>
      <c r="B33" s="47"/>
      <c r="C33" s="46"/>
      <c r="D33" s="47"/>
      <c r="E33" s="46"/>
      <c r="F33" s="47"/>
      <c r="G33" s="22"/>
      <c r="H33" s="22"/>
      <c r="I33" s="22"/>
      <c r="J33" s="22"/>
      <c r="K33" s="22"/>
      <c r="L33" s="22"/>
      <c r="M33" s="22"/>
      <c r="N33" s="22"/>
      <c r="O33" s="22"/>
      <c r="P33" s="22"/>
      <c r="Q33" s="22"/>
      <c r="R33" s="22"/>
      <c r="S33" s="22"/>
      <c r="T33" s="22"/>
      <c r="U33" s="22"/>
      <c r="V33" s="22"/>
      <c r="W33" s="22"/>
      <c r="X33" s="22"/>
      <c r="Y33" s="22"/>
      <c r="Z33" s="22"/>
    </row>
    <row r="34" spans="1:26" s="25" customFormat="1" ht="19.5" customHeight="1">
      <c r="A34" s="48" t="s">
        <v>150</v>
      </c>
      <c r="B34" s="47"/>
      <c r="C34" s="46"/>
      <c r="D34" s="47"/>
      <c r="E34" s="46"/>
      <c r="F34" s="47"/>
      <c r="G34" s="22"/>
      <c r="H34" s="22"/>
      <c r="I34" s="22"/>
      <c r="J34" s="22"/>
      <c r="K34" s="22"/>
      <c r="L34" s="22"/>
      <c r="M34" s="22"/>
      <c r="N34" s="22"/>
      <c r="O34" s="22"/>
      <c r="P34" s="22"/>
      <c r="Q34" s="22"/>
      <c r="R34" s="22"/>
      <c r="S34" s="22"/>
      <c r="T34" s="22"/>
      <c r="U34" s="22"/>
      <c r="V34" s="22"/>
      <c r="W34" s="22"/>
      <c r="X34" s="22"/>
      <c r="Y34" s="22"/>
      <c r="Z34" s="22"/>
    </row>
    <row r="35" spans="1:26" s="25" customFormat="1" ht="19.5" customHeight="1">
      <c r="A35" s="48" t="s">
        <v>151</v>
      </c>
      <c r="B35" s="47"/>
      <c r="C35" s="46"/>
      <c r="D35" s="47"/>
      <c r="E35" s="46"/>
      <c r="F35" s="47"/>
      <c r="G35" s="22"/>
      <c r="H35" s="22"/>
      <c r="I35" s="22"/>
      <c r="J35" s="22"/>
      <c r="K35" s="22"/>
      <c r="L35" s="22"/>
      <c r="M35" s="22"/>
      <c r="N35" s="22"/>
      <c r="O35" s="22"/>
      <c r="P35" s="22"/>
      <c r="Q35" s="22"/>
      <c r="R35" s="22"/>
      <c r="S35" s="22"/>
      <c r="T35" s="22"/>
      <c r="U35" s="22"/>
      <c r="V35" s="22"/>
      <c r="W35" s="22"/>
      <c r="X35" s="22"/>
      <c r="Y35" s="22"/>
      <c r="Z35" s="22"/>
    </row>
    <row r="36" spans="1:26" s="25" customFormat="1" ht="19.5" customHeight="1">
      <c r="A36" s="48" t="s">
        <v>152</v>
      </c>
      <c r="B36" s="47"/>
      <c r="C36" s="46"/>
      <c r="D36" s="47"/>
      <c r="E36" s="46"/>
      <c r="F36" s="47"/>
      <c r="G36" s="22"/>
      <c r="H36" s="22"/>
      <c r="I36" s="22"/>
      <c r="J36" s="22"/>
      <c r="K36" s="22"/>
      <c r="L36" s="22"/>
      <c r="M36" s="22"/>
      <c r="N36" s="22"/>
      <c r="O36" s="22"/>
      <c r="P36" s="22"/>
      <c r="Q36" s="22"/>
      <c r="R36" s="22"/>
      <c r="S36" s="22"/>
      <c r="T36" s="22"/>
      <c r="U36" s="22"/>
      <c r="V36" s="22"/>
      <c r="W36" s="22"/>
      <c r="X36" s="22"/>
      <c r="Y36" s="22"/>
      <c r="Z36" s="22"/>
    </row>
    <row r="37" spans="1:26" s="25" customFormat="1" ht="19.5" customHeight="1">
      <c r="A37" s="71" t="s">
        <v>153</v>
      </c>
      <c r="B37" s="47"/>
      <c r="C37" s="61" t="str">
        <f>IF(SUM(C27:D36)=0,"",SUM(C27:D36))</f>
        <v/>
      </c>
      <c r="D37" s="47"/>
      <c r="E37" s="61" t="str">
        <f>IF(SUM(E27:F36)=0,"",SUM(E27:F36))</f>
        <v/>
      </c>
      <c r="F37" s="47"/>
      <c r="G37" s="22"/>
      <c r="H37" s="22"/>
      <c r="I37" s="22"/>
      <c r="J37" s="22"/>
      <c r="K37" s="22"/>
      <c r="L37" s="22"/>
      <c r="M37" s="22"/>
      <c r="N37" s="22"/>
      <c r="O37" s="22"/>
      <c r="P37" s="22"/>
      <c r="Q37" s="22"/>
      <c r="R37" s="22"/>
      <c r="S37" s="22"/>
      <c r="T37" s="22"/>
      <c r="U37" s="22"/>
      <c r="V37" s="22"/>
      <c r="W37" s="22"/>
      <c r="X37" s="22"/>
      <c r="Y37" s="22"/>
      <c r="Z37" s="22"/>
    </row>
    <row r="38" spans="1:26" s="25" customFormat="1" ht="19.5" customHeight="1">
      <c r="A38" s="68" t="s">
        <v>51</v>
      </c>
      <c r="B38" s="59"/>
      <c r="C38" s="59"/>
      <c r="D38" s="59"/>
      <c r="E38" s="59"/>
      <c r="F38" s="47"/>
      <c r="G38" s="22"/>
      <c r="H38" s="22"/>
      <c r="I38" s="22"/>
      <c r="J38" s="22"/>
      <c r="K38" s="22"/>
      <c r="L38" s="22"/>
      <c r="M38" s="22"/>
      <c r="N38" s="22"/>
      <c r="O38" s="22"/>
      <c r="P38" s="22"/>
      <c r="Q38" s="22"/>
      <c r="R38" s="22"/>
      <c r="S38" s="22"/>
      <c r="T38" s="22"/>
      <c r="U38" s="22"/>
      <c r="V38" s="22"/>
      <c r="W38" s="22"/>
      <c r="X38" s="22"/>
      <c r="Y38" s="22"/>
      <c r="Z38" s="22"/>
    </row>
    <row r="39" spans="1:26" s="25" customFormat="1" ht="19.5" customHeight="1">
      <c r="A39" s="48" t="s">
        <v>154</v>
      </c>
      <c r="B39" s="47"/>
      <c r="C39" s="46"/>
      <c r="D39" s="47"/>
      <c r="E39" s="46"/>
      <c r="F39" s="47"/>
      <c r="G39" s="22"/>
      <c r="H39" s="22"/>
      <c r="I39" s="22"/>
      <c r="J39" s="22"/>
      <c r="K39" s="22"/>
      <c r="L39" s="22"/>
      <c r="M39" s="22"/>
      <c r="N39" s="22"/>
      <c r="O39" s="22"/>
      <c r="P39" s="22"/>
      <c r="Q39" s="22"/>
      <c r="R39" s="22"/>
      <c r="S39" s="22"/>
      <c r="T39" s="22"/>
      <c r="U39" s="22"/>
      <c r="V39" s="22"/>
      <c r="W39" s="22"/>
      <c r="X39" s="22"/>
      <c r="Y39" s="22"/>
      <c r="Z39" s="22"/>
    </row>
    <row r="40" spans="1:26" s="25" customFormat="1" ht="19.5" customHeight="1">
      <c r="A40" s="48" t="s">
        <v>155</v>
      </c>
      <c r="B40" s="47"/>
      <c r="C40" s="46"/>
      <c r="D40" s="47"/>
      <c r="E40" s="46"/>
      <c r="F40" s="47"/>
      <c r="G40" s="22"/>
      <c r="H40" s="22"/>
      <c r="I40" s="22"/>
      <c r="J40" s="22"/>
      <c r="K40" s="22"/>
      <c r="L40" s="22"/>
      <c r="M40" s="22"/>
      <c r="N40" s="22"/>
      <c r="O40" s="22"/>
      <c r="P40" s="22"/>
      <c r="Q40" s="22"/>
      <c r="R40" s="22"/>
      <c r="S40" s="22"/>
      <c r="T40" s="22"/>
      <c r="U40" s="22"/>
      <c r="V40" s="22"/>
      <c r="W40" s="22"/>
      <c r="X40" s="22"/>
      <c r="Y40" s="22"/>
      <c r="Z40" s="22"/>
    </row>
    <row r="41" spans="1:26" s="25" customFormat="1" ht="19.5" customHeight="1">
      <c r="A41" s="48" t="s">
        <v>156</v>
      </c>
      <c r="B41" s="47"/>
      <c r="C41" s="46"/>
      <c r="D41" s="47"/>
      <c r="E41" s="46"/>
      <c r="F41" s="47"/>
      <c r="G41" s="22"/>
      <c r="H41" s="22"/>
      <c r="I41" s="22"/>
      <c r="J41" s="22"/>
      <c r="K41" s="22"/>
      <c r="L41" s="22"/>
      <c r="M41" s="22"/>
      <c r="N41" s="22"/>
      <c r="O41" s="22"/>
      <c r="P41" s="22"/>
      <c r="Q41" s="22"/>
      <c r="R41" s="22"/>
      <c r="S41" s="22"/>
      <c r="T41" s="22"/>
      <c r="U41" s="22"/>
      <c r="V41" s="22"/>
      <c r="W41" s="22"/>
      <c r="X41" s="22"/>
      <c r="Y41" s="22"/>
      <c r="Z41" s="22"/>
    </row>
    <row r="42" spans="1:26" s="25" customFormat="1" ht="19.5" customHeight="1">
      <c r="A42" s="48" t="s">
        <v>157</v>
      </c>
      <c r="B42" s="47"/>
      <c r="C42" s="46"/>
      <c r="D42" s="47"/>
      <c r="E42" s="46"/>
      <c r="F42" s="47"/>
      <c r="G42" s="22"/>
      <c r="H42" s="22"/>
      <c r="I42" s="22"/>
      <c r="J42" s="22"/>
      <c r="K42" s="22"/>
      <c r="L42" s="22"/>
      <c r="M42" s="22"/>
      <c r="N42" s="22"/>
      <c r="O42" s="22"/>
      <c r="P42" s="22"/>
      <c r="Q42" s="22"/>
      <c r="R42" s="22"/>
      <c r="S42" s="22"/>
      <c r="T42" s="22"/>
      <c r="U42" s="22"/>
      <c r="V42" s="22"/>
      <c r="W42" s="22"/>
      <c r="X42" s="22"/>
      <c r="Y42" s="22"/>
      <c r="Z42" s="22"/>
    </row>
    <row r="43" spans="1:26" s="25" customFormat="1" ht="19.5" customHeight="1">
      <c r="A43" s="48" t="s">
        <v>158</v>
      </c>
      <c r="B43" s="47"/>
      <c r="C43" s="46"/>
      <c r="D43" s="47"/>
      <c r="E43" s="46"/>
      <c r="F43" s="47"/>
      <c r="G43" s="22"/>
      <c r="H43" s="22"/>
      <c r="I43" s="22"/>
      <c r="J43" s="22"/>
      <c r="K43" s="22"/>
      <c r="L43" s="22"/>
      <c r="M43" s="22"/>
      <c r="N43" s="22"/>
      <c r="O43" s="22"/>
      <c r="P43" s="22"/>
      <c r="Q43" s="22"/>
      <c r="R43" s="22"/>
      <c r="S43" s="22"/>
      <c r="T43" s="22"/>
      <c r="U43" s="22"/>
      <c r="V43" s="22"/>
      <c r="W43" s="22"/>
      <c r="X43" s="22"/>
      <c r="Y43" s="22"/>
      <c r="Z43" s="22"/>
    </row>
    <row r="44" spans="1:26" s="25" customFormat="1" ht="19.5" customHeight="1">
      <c r="A44" s="71" t="s">
        <v>159</v>
      </c>
      <c r="B44" s="47"/>
      <c r="C44" s="61" t="str">
        <f>IF(SUM(C39:D43)=0,"",SUM(C39:D43))</f>
        <v/>
      </c>
      <c r="D44" s="47"/>
      <c r="E44" s="61" t="str">
        <f>IF(SUM(E39:F43)=0,"",SUM(E39:F43))</f>
        <v/>
      </c>
      <c r="F44" s="47"/>
      <c r="G44" s="22"/>
      <c r="H44" s="22"/>
      <c r="I44" s="22"/>
      <c r="J44" s="22"/>
      <c r="K44" s="22"/>
      <c r="L44" s="22"/>
      <c r="M44" s="22"/>
      <c r="N44" s="22"/>
      <c r="O44" s="22"/>
      <c r="P44" s="22"/>
      <c r="Q44" s="22"/>
      <c r="R44" s="22"/>
      <c r="S44" s="22"/>
      <c r="T44" s="22"/>
      <c r="U44" s="22"/>
      <c r="V44" s="22"/>
      <c r="W44" s="22"/>
      <c r="X44" s="22"/>
      <c r="Y44" s="22"/>
      <c r="Z44" s="22"/>
    </row>
    <row r="45" spans="1:26" s="25" customFormat="1" ht="19.5" customHeight="1">
      <c r="A45" s="68" t="s">
        <v>57</v>
      </c>
      <c r="B45" s="59"/>
      <c r="C45" s="59"/>
      <c r="D45" s="59"/>
      <c r="E45" s="59"/>
      <c r="F45" s="47"/>
      <c r="G45" s="22"/>
      <c r="H45" s="22"/>
      <c r="I45" s="22"/>
      <c r="J45" s="22"/>
      <c r="K45" s="22"/>
      <c r="L45" s="22"/>
      <c r="M45" s="22"/>
      <c r="N45" s="22"/>
      <c r="O45" s="22"/>
      <c r="P45" s="22"/>
      <c r="Q45" s="22"/>
      <c r="R45" s="22"/>
      <c r="S45" s="22"/>
      <c r="T45" s="22"/>
      <c r="U45" s="22"/>
      <c r="V45" s="22"/>
      <c r="W45" s="22"/>
      <c r="X45" s="22"/>
      <c r="Y45" s="22"/>
      <c r="Z45" s="22"/>
    </row>
    <row r="46" spans="1:26" s="25" customFormat="1" ht="19.5" customHeight="1">
      <c r="A46" s="48" t="s">
        <v>160</v>
      </c>
      <c r="B46" s="47"/>
      <c r="C46" s="46"/>
      <c r="D46" s="47"/>
      <c r="E46" s="46"/>
      <c r="F46" s="47"/>
      <c r="G46" s="22"/>
      <c r="H46" s="22"/>
      <c r="I46" s="22"/>
      <c r="J46" s="22"/>
      <c r="K46" s="22"/>
      <c r="L46" s="22"/>
      <c r="M46" s="22"/>
      <c r="N46" s="22"/>
      <c r="O46" s="22"/>
      <c r="P46" s="22"/>
      <c r="Q46" s="22"/>
      <c r="R46" s="22"/>
      <c r="S46" s="22"/>
      <c r="T46" s="22"/>
      <c r="U46" s="22"/>
      <c r="V46" s="22"/>
      <c r="W46" s="22"/>
      <c r="X46" s="22"/>
      <c r="Y46" s="22"/>
      <c r="Z46" s="22"/>
    </row>
    <row r="47" spans="1:26" s="25" customFormat="1" ht="19.5" customHeight="1">
      <c r="A47" s="48" t="s">
        <v>161</v>
      </c>
      <c r="B47" s="47"/>
      <c r="C47" s="46"/>
      <c r="D47" s="47"/>
      <c r="E47" s="46"/>
      <c r="F47" s="47"/>
      <c r="G47" s="22"/>
      <c r="H47" s="22"/>
      <c r="I47" s="22"/>
      <c r="J47" s="22"/>
      <c r="K47" s="22"/>
      <c r="L47" s="22"/>
      <c r="M47" s="22"/>
      <c r="N47" s="22"/>
      <c r="O47" s="22"/>
      <c r="P47" s="22"/>
      <c r="Q47" s="22"/>
      <c r="R47" s="22"/>
      <c r="S47" s="22"/>
      <c r="T47" s="22"/>
      <c r="U47" s="22"/>
      <c r="V47" s="22"/>
      <c r="W47" s="22"/>
      <c r="X47" s="22"/>
      <c r="Y47" s="22"/>
      <c r="Z47" s="22"/>
    </row>
    <row r="48" spans="1:26" s="25" customFormat="1" ht="19.5" customHeight="1">
      <c r="A48" s="48" t="s">
        <v>162</v>
      </c>
      <c r="B48" s="47"/>
      <c r="C48" s="46"/>
      <c r="D48" s="47"/>
      <c r="E48" s="46"/>
      <c r="F48" s="47"/>
      <c r="G48" s="22"/>
      <c r="H48" s="22"/>
      <c r="I48" s="22"/>
      <c r="J48" s="22"/>
      <c r="K48" s="22"/>
      <c r="L48" s="22"/>
      <c r="M48" s="22"/>
      <c r="N48" s="22"/>
      <c r="O48" s="22"/>
      <c r="P48" s="22"/>
      <c r="Q48" s="22"/>
      <c r="R48" s="22"/>
      <c r="S48" s="22"/>
      <c r="T48" s="22"/>
      <c r="U48" s="22"/>
      <c r="V48" s="22"/>
      <c r="W48" s="22"/>
      <c r="X48" s="22"/>
      <c r="Y48" s="22"/>
      <c r="Z48" s="22"/>
    </row>
    <row r="49" spans="1:26" s="25" customFormat="1" ht="19.5" customHeight="1">
      <c r="A49" s="48" t="s">
        <v>163</v>
      </c>
      <c r="B49" s="47"/>
      <c r="C49" s="46"/>
      <c r="D49" s="47"/>
      <c r="E49" s="46"/>
      <c r="F49" s="47"/>
      <c r="G49" s="22"/>
      <c r="H49" s="22"/>
      <c r="I49" s="22"/>
      <c r="J49" s="22"/>
      <c r="K49" s="22"/>
      <c r="L49" s="22"/>
      <c r="M49" s="22"/>
      <c r="N49" s="22"/>
      <c r="O49" s="22"/>
      <c r="P49" s="22"/>
      <c r="Q49" s="22"/>
      <c r="R49" s="22"/>
      <c r="S49" s="22"/>
      <c r="T49" s="22"/>
      <c r="U49" s="22"/>
      <c r="V49" s="22"/>
      <c r="W49" s="22"/>
      <c r="X49" s="22"/>
      <c r="Y49" s="22"/>
      <c r="Z49" s="22"/>
    </row>
    <row r="50" spans="1:26" s="25" customFormat="1" ht="19.5" customHeight="1">
      <c r="A50" s="48" t="s">
        <v>164</v>
      </c>
      <c r="B50" s="47"/>
      <c r="C50" s="46"/>
      <c r="D50" s="47"/>
      <c r="E50" s="46"/>
      <c r="F50" s="47"/>
      <c r="G50" s="22"/>
      <c r="H50" s="22"/>
      <c r="I50" s="22"/>
      <c r="J50" s="22"/>
      <c r="K50" s="22"/>
      <c r="L50" s="22"/>
      <c r="M50" s="22"/>
      <c r="N50" s="22"/>
      <c r="O50" s="22"/>
      <c r="P50" s="22"/>
      <c r="Q50" s="22"/>
      <c r="R50" s="22"/>
      <c r="S50" s="22"/>
      <c r="T50" s="22"/>
      <c r="U50" s="22"/>
      <c r="V50" s="22"/>
      <c r="W50" s="22"/>
      <c r="X50" s="22"/>
      <c r="Y50" s="22"/>
      <c r="Z50" s="22"/>
    </row>
    <row r="51" spans="1:26" s="25" customFormat="1" ht="19.5" customHeight="1">
      <c r="A51" s="48" t="s">
        <v>165</v>
      </c>
      <c r="B51" s="47"/>
      <c r="C51" s="46"/>
      <c r="D51" s="47"/>
      <c r="E51" s="46"/>
      <c r="F51" s="47"/>
      <c r="G51" s="22"/>
      <c r="H51" s="22"/>
      <c r="I51" s="22"/>
      <c r="J51" s="22"/>
      <c r="K51" s="22"/>
      <c r="L51" s="22"/>
      <c r="M51" s="22"/>
      <c r="N51" s="22"/>
      <c r="O51" s="22"/>
      <c r="P51" s="22"/>
      <c r="Q51" s="22"/>
      <c r="R51" s="22"/>
      <c r="S51" s="22"/>
      <c r="T51" s="22"/>
      <c r="U51" s="22"/>
      <c r="V51" s="22"/>
      <c r="W51" s="22"/>
      <c r="X51" s="22"/>
      <c r="Y51" s="22"/>
      <c r="Z51" s="22"/>
    </row>
    <row r="52" spans="1:26" s="25" customFormat="1" ht="19.5" customHeight="1">
      <c r="A52" s="48" t="s">
        <v>166</v>
      </c>
      <c r="B52" s="47"/>
      <c r="C52" s="46"/>
      <c r="D52" s="47"/>
      <c r="E52" s="46"/>
      <c r="F52" s="47"/>
      <c r="G52" s="22"/>
      <c r="H52" s="22"/>
      <c r="I52" s="22"/>
      <c r="J52" s="22"/>
      <c r="K52" s="22"/>
      <c r="L52" s="22"/>
      <c r="M52" s="22"/>
      <c r="N52" s="22"/>
      <c r="O52" s="22"/>
      <c r="P52" s="22"/>
      <c r="Q52" s="22"/>
      <c r="R52" s="22"/>
      <c r="S52" s="22"/>
      <c r="T52" s="22"/>
      <c r="U52" s="22"/>
      <c r="V52" s="22"/>
      <c r="W52" s="22"/>
      <c r="X52" s="22"/>
      <c r="Y52" s="22"/>
      <c r="Z52" s="22"/>
    </row>
    <row r="53" spans="1:26" s="25" customFormat="1" ht="19.5" customHeight="1">
      <c r="A53" s="71" t="s">
        <v>167</v>
      </c>
      <c r="B53" s="47"/>
      <c r="C53" s="61" t="str">
        <f>IF(SUM(C46:D52)=0,"",SUM(C46:D52))</f>
        <v/>
      </c>
      <c r="D53" s="47"/>
      <c r="E53" s="61" t="str">
        <f>IF(SUM(E46:F52)=0,"",SUM(E46:F52))</f>
        <v/>
      </c>
      <c r="F53" s="47"/>
      <c r="G53" s="22"/>
      <c r="H53" s="22"/>
      <c r="I53" s="22"/>
      <c r="J53" s="22"/>
      <c r="K53" s="22"/>
      <c r="L53" s="22"/>
      <c r="M53" s="22"/>
      <c r="N53" s="22"/>
      <c r="O53" s="22"/>
      <c r="P53" s="22"/>
      <c r="Q53" s="22"/>
      <c r="R53" s="22"/>
      <c r="S53" s="22"/>
      <c r="T53" s="22"/>
      <c r="U53" s="22"/>
      <c r="V53" s="22"/>
      <c r="W53" s="22"/>
      <c r="X53" s="22"/>
      <c r="Y53" s="22"/>
      <c r="Z53" s="22"/>
    </row>
    <row r="54" spans="1:26" s="25" customFormat="1" ht="19.5" customHeight="1">
      <c r="A54" s="71" t="s">
        <v>168</v>
      </c>
      <c r="B54" s="47"/>
      <c r="C54" s="61" t="e">
        <f>C53+C44+C37</f>
        <v>#VALUE!</v>
      </c>
      <c r="D54" s="47"/>
      <c r="E54" s="61" t="e">
        <f>E53+E44+E37</f>
        <v>#VALUE!</v>
      </c>
      <c r="F54" s="47"/>
      <c r="G54" s="22"/>
      <c r="H54" s="22"/>
      <c r="I54" s="22"/>
      <c r="J54" s="22"/>
      <c r="K54" s="22"/>
      <c r="L54" s="22"/>
      <c r="M54" s="22"/>
      <c r="N54" s="22"/>
      <c r="O54" s="22"/>
      <c r="P54" s="22"/>
      <c r="Q54" s="22"/>
      <c r="R54" s="22"/>
      <c r="S54" s="22"/>
      <c r="T54" s="22"/>
      <c r="U54" s="22"/>
      <c r="V54" s="22"/>
      <c r="W54" s="22"/>
      <c r="X54" s="22"/>
      <c r="Y54" s="22"/>
      <c r="Z54" s="22"/>
    </row>
    <row r="55" spans="1:26" s="25" customFormat="1" ht="19.5" customHeight="1">
      <c r="A55" s="58" t="s">
        <v>224</v>
      </c>
      <c r="B55" s="59"/>
      <c r="C55" s="59"/>
      <c r="D55" s="59"/>
      <c r="E55" s="59"/>
      <c r="F55" s="47"/>
      <c r="G55" s="22"/>
      <c r="H55" s="22"/>
      <c r="I55" s="22"/>
      <c r="J55" s="22"/>
      <c r="K55" s="22"/>
      <c r="L55" s="22"/>
      <c r="M55" s="22"/>
      <c r="N55" s="22"/>
      <c r="O55" s="22"/>
      <c r="P55" s="22"/>
      <c r="Q55" s="22"/>
      <c r="R55" s="22"/>
      <c r="S55" s="22"/>
      <c r="T55" s="22"/>
      <c r="U55" s="22"/>
      <c r="V55" s="22"/>
      <c r="W55" s="22"/>
      <c r="X55" s="22"/>
      <c r="Y55" s="22"/>
      <c r="Z55" s="22"/>
    </row>
    <row r="56" spans="1:26" s="25" customFormat="1" ht="31.5" customHeight="1">
      <c r="A56" s="60" t="s">
        <v>169</v>
      </c>
      <c r="B56" s="59"/>
      <c r="C56" s="59"/>
      <c r="D56" s="59"/>
      <c r="E56" s="59"/>
      <c r="F56" s="47"/>
      <c r="G56" s="22"/>
      <c r="H56" s="22"/>
      <c r="I56" s="22"/>
      <c r="J56" s="22"/>
      <c r="K56" s="22"/>
      <c r="L56" s="22"/>
      <c r="M56" s="22"/>
      <c r="N56" s="22"/>
      <c r="O56" s="22"/>
      <c r="P56" s="22"/>
      <c r="Q56" s="22"/>
      <c r="R56" s="22"/>
      <c r="S56" s="22"/>
      <c r="T56" s="22"/>
      <c r="U56" s="22"/>
      <c r="V56" s="22"/>
      <c r="W56" s="22"/>
      <c r="X56" s="22"/>
      <c r="Y56" s="22"/>
      <c r="Z56" s="22"/>
    </row>
    <row r="57" spans="1:26" s="25" customFormat="1" ht="19.5" customHeight="1">
      <c r="A57" s="72" t="s">
        <v>170</v>
      </c>
      <c r="B57" s="64"/>
      <c r="C57" s="73" t="s">
        <v>171</v>
      </c>
      <c r="D57" s="58" t="s">
        <v>172</v>
      </c>
      <c r="E57" s="59"/>
      <c r="F57" s="47"/>
      <c r="G57" s="22"/>
      <c r="H57" s="22"/>
      <c r="I57" s="22"/>
      <c r="J57" s="22"/>
      <c r="K57" s="22"/>
      <c r="L57" s="22"/>
      <c r="M57" s="22"/>
      <c r="N57" s="22"/>
      <c r="O57" s="22"/>
      <c r="P57" s="22"/>
      <c r="Q57" s="22"/>
      <c r="R57" s="22"/>
      <c r="S57" s="22"/>
      <c r="T57" s="22"/>
      <c r="U57" s="22"/>
      <c r="V57" s="22"/>
      <c r="W57" s="22"/>
      <c r="X57" s="22"/>
      <c r="Y57" s="22"/>
      <c r="Z57" s="22"/>
    </row>
    <row r="58" spans="1:26" s="25" customFormat="1" ht="19.5" customHeight="1">
      <c r="A58" s="65"/>
      <c r="B58" s="67"/>
      <c r="C58" s="74"/>
      <c r="D58" s="33" t="s">
        <v>173</v>
      </c>
      <c r="E58" s="33" t="s">
        <v>174</v>
      </c>
      <c r="F58" s="33" t="s">
        <v>80</v>
      </c>
      <c r="G58" s="22"/>
      <c r="H58" s="22"/>
      <c r="I58" s="22"/>
      <c r="J58" s="22"/>
      <c r="K58" s="22"/>
      <c r="L58" s="22"/>
      <c r="M58" s="22"/>
      <c r="N58" s="22"/>
      <c r="O58" s="22"/>
      <c r="P58" s="22"/>
      <c r="Q58" s="22"/>
      <c r="R58" s="22"/>
      <c r="S58" s="22"/>
      <c r="T58" s="22"/>
      <c r="U58" s="22"/>
      <c r="V58" s="22"/>
      <c r="W58" s="22"/>
      <c r="X58" s="22"/>
      <c r="Y58" s="22"/>
      <c r="Z58" s="22"/>
    </row>
    <row r="59" spans="1:26" s="25" customFormat="1" ht="19.5" customHeight="1">
      <c r="A59" s="20" t="s">
        <v>175</v>
      </c>
      <c r="B59" s="23"/>
      <c r="C59" s="23"/>
      <c r="D59" s="23"/>
      <c r="E59" s="23"/>
      <c r="F59" s="23" t="str">
        <f t="shared" ref="F59:F61" si="0">IF(E59="","",IF(E59="Fully Resolved",0,IF(E59="Substantially Resolved",1,IF(E59="Partially Resolved",2,3))))</f>
        <v/>
      </c>
      <c r="G59" s="22"/>
      <c r="H59" s="22"/>
      <c r="I59" s="22"/>
      <c r="J59" s="22"/>
      <c r="K59" s="22"/>
      <c r="L59" s="22"/>
      <c r="M59" s="22"/>
      <c r="N59" s="22"/>
      <c r="O59" s="22"/>
      <c r="P59" s="22"/>
      <c r="Q59" s="22"/>
      <c r="R59" s="22"/>
      <c r="S59" s="22"/>
      <c r="T59" s="22"/>
      <c r="U59" s="22"/>
      <c r="V59" s="22"/>
      <c r="W59" s="22"/>
      <c r="X59" s="22"/>
      <c r="Y59" s="22"/>
      <c r="Z59" s="22"/>
    </row>
    <row r="60" spans="1:26" s="25" customFormat="1" ht="19.5" customHeight="1">
      <c r="A60" s="20" t="s">
        <v>176</v>
      </c>
      <c r="B60" s="23"/>
      <c r="C60" s="23"/>
      <c r="D60" s="23"/>
      <c r="E60" s="23"/>
      <c r="F60" s="23" t="str">
        <f t="shared" si="0"/>
        <v/>
      </c>
      <c r="G60" s="22"/>
      <c r="H60" s="22"/>
      <c r="I60" s="22"/>
      <c r="J60" s="22"/>
      <c r="K60" s="22"/>
      <c r="L60" s="22"/>
      <c r="M60" s="22"/>
      <c r="N60" s="22"/>
      <c r="O60" s="22"/>
      <c r="P60" s="22"/>
      <c r="Q60" s="22"/>
      <c r="R60" s="22"/>
      <c r="S60" s="22"/>
      <c r="T60" s="22"/>
      <c r="U60" s="22"/>
      <c r="V60" s="22"/>
      <c r="W60" s="22"/>
      <c r="X60" s="22"/>
      <c r="Y60" s="22"/>
      <c r="Z60" s="22"/>
    </row>
    <row r="61" spans="1:26" s="25" customFormat="1" ht="19.5" customHeight="1">
      <c r="A61" s="20" t="s">
        <v>177</v>
      </c>
      <c r="B61" s="23"/>
      <c r="C61" s="23"/>
      <c r="D61" s="23"/>
      <c r="E61" s="23"/>
      <c r="F61" s="23" t="str">
        <f t="shared" si="0"/>
        <v/>
      </c>
      <c r="G61" s="22"/>
      <c r="H61" s="22"/>
      <c r="I61" s="22"/>
      <c r="J61" s="22"/>
      <c r="K61" s="22"/>
      <c r="L61" s="22"/>
      <c r="M61" s="22"/>
      <c r="N61" s="22"/>
      <c r="O61" s="22"/>
      <c r="P61" s="22"/>
      <c r="Q61" s="22"/>
      <c r="R61" s="22"/>
      <c r="S61" s="22"/>
      <c r="T61" s="22"/>
      <c r="U61" s="22"/>
      <c r="V61" s="22"/>
      <c r="W61" s="22"/>
      <c r="X61" s="22"/>
      <c r="Y61" s="22"/>
      <c r="Z61" s="22"/>
    </row>
    <row r="62" spans="1:26" s="25" customFormat="1" ht="19.5" customHeight="1">
      <c r="A62" s="71" t="s">
        <v>178</v>
      </c>
      <c r="B62" s="59"/>
      <c r="C62" s="59"/>
      <c r="D62" s="59"/>
      <c r="E62" s="47"/>
      <c r="F62" s="33">
        <f>SUM(F59:F61)</f>
        <v>0</v>
      </c>
      <c r="G62" s="22"/>
      <c r="H62" s="22"/>
      <c r="I62" s="22"/>
      <c r="J62" s="22"/>
      <c r="K62" s="22"/>
      <c r="L62" s="22"/>
      <c r="M62" s="22"/>
      <c r="N62" s="22"/>
      <c r="O62" s="22"/>
      <c r="P62" s="22"/>
      <c r="Q62" s="22"/>
      <c r="R62" s="22"/>
      <c r="S62" s="22"/>
      <c r="T62" s="22"/>
      <c r="U62" s="22"/>
      <c r="V62" s="22"/>
      <c r="W62" s="22"/>
      <c r="X62" s="22"/>
      <c r="Y62" s="22"/>
      <c r="Z62" s="22"/>
    </row>
    <row r="63" spans="1:26" s="25" customFormat="1" ht="19.5" customHeight="1">
      <c r="A63" s="58" t="s">
        <v>223</v>
      </c>
      <c r="B63" s="59"/>
      <c r="C63" s="59"/>
      <c r="D63" s="59"/>
      <c r="E63" s="59"/>
      <c r="F63" s="47"/>
      <c r="G63" s="22"/>
      <c r="H63" s="22"/>
      <c r="I63" s="22"/>
      <c r="J63" s="22"/>
      <c r="K63" s="22"/>
      <c r="L63" s="22"/>
      <c r="M63" s="22"/>
      <c r="N63" s="22"/>
      <c r="O63" s="22"/>
      <c r="P63" s="22"/>
      <c r="Q63" s="22"/>
      <c r="R63" s="22"/>
      <c r="S63" s="22"/>
      <c r="T63" s="22"/>
      <c r="U63" s="22"/>
      <c r="V63" s="22"/>
      <c r="W63" s="22"/>
      <c r="X63" s="22"/>
      <c r="Y63" s="22"/>
      <c r="Z63" s="22"/>
    </row>
    <row r="64" spans="1:26" s="25" customFormat="1" ht="19.5" customHeight="1">
      <c r="A64" s="72" t="s">
        <v>79</v>
      </c>
      <c r="B64" s="63"/>
      <c r="C64" s="64"/>
      <c r="D64" s="73" t="s">
        <v>179</v>
      </c>
      <c r="E64" s="61" t="s">
        <v>80</v>
      </c>
      <c r="F64" s="47"/>
      <c r="G64" s="22"/>
      <c r="H64" s="22"/>
      <c r="I64" s="22"/>
      <c r="J64" s="22"/>
      <c r="K64" s="22"/>
      <c r="L64" s="22"/>
      <c r="M64" s="22"/>
      <c r="N64" s="22"/>
      <c r="O64" s="22"/>
      <c r="P64" s="22"/>
      <c r="Q64" s="22"/>
      <c r="R64" s="22"/>
      <c r="S64" s="22"/>
      <c r="T64" s="22"/>
      <c r="U64" s="22"/>
      <c r="V64" s="22"/>
      <c r="W64" s="22"/>
      <c r="X64" s="22"/>
      <c r="Y64" s="22"/>
      <c r="Z64" s="22"/>
    </row>
    <row r="65" spans="1:26" s="25" customFormat="1" ht="19.5" customHeight="1">
      <c r="A65" s="65"/>
      <c r="B65" s="66"/>
      <c r="C65" s="67"/>
      <c r="D65" s="74"/>
      <c r="E65" s="33" t="s">
        <v>81</v>
      </c>
      <c r="F65" s="33" t="s">
        <v>131</v>
      </c>
      <c r="G65" s="22"/>
      <c r="H65" s="22"/>
      <c r="I65" s="22"/>
      <c r="J65" s="22"/>
      <c r="K65" s="22"/>
      <c r="L65" s="22"/>
      <c r="M65" s="22"/>
      <c r="N65" s="22"/>
      <c r="O65" s="22"/>
      <c r="P65" s="22"/>
      <c r="Q65" s="22"/>
      <c r="R65" s="22"/>
      <c r="S65" s="22"/>
      <c r="T65" s="22"/>
      <c r="U65" s="22"/>
      <c r="V65" s="22"/>
      <c r="W65" s="22"/>
      <c r="X65" s="22"/>
      <c r="Y65" s="22"/>
      <c r="Z65" s="22"/>
    </row>
    <row r="66" spans="1:26" s="25" customFormat="1" ht="18.5" hidden="1">
      <c r="A66" s="53" t="s">
        <v>180</v>
      </c>
      <c r="B66" s="59"/>
      <c r="C66" s="47"/>
      <c r="D66" s="34">
        <f>COUNTIF(D12:D19,"")</f>
        <v>8</v>
      </c>
      <c r="E66" s="30">
        <f>COUNTIF(E12:E19,"NA")</f>
        <v>0</v>
      </c>
      <c r="F66" s="30">
        <f>COUNTIF(F12:F19,"NA")</f>
        <v>0</v>
      </c>
      <c r="G66" s="22"/>
      <c r="H66" s="22"/>
      <c r="I66" s="22"/>
      <c r="J66" s="22"/>
      <c r="K66" s="22"/>
      <c r="L66" s="22"/>
      <c r="M66" s="22"/>
      <c r="N66" s="22"/>
      <c r="O66" s="22"/>
      <c r="P66" s="22"/>
      <c r="Q66" s="22"/>
      <c r="R66" s="22"/>
      <c r="S66" s="22"/>
      <c r="T66" s="22"/>
      <c r="U66" s="22"/>
      <c r="V66" s="22"/>
      <c r="W66" s="22"/>
      <c r="X66" s="22"/>
      <c r="Y66" s="22"/>
      <c r="Z66" s="22"/>
    </row>
    <row r="67" spans="1:26" s="25" customFormat="1" ht="19.5" customHeight="1">
      <c r="A67" s="53" t="s">
        <v>181</v>
      </c>
      <c r="B67" s="59"/>
      <c r="C67" s="47"/>
      <c r="D67" s="34">
        <f>24-(D66*3)</f>
        <v>0</v>
      </c>
      <c r="E67" s="30" t="str">
        <f>D20</f>
        <v/>
      </c>
      <c r="F67" s="30" t="str">
        <f>F20</f>
        <v/>
      </c>
      <c r="G67" s="22"/>
      <c r="H67" s="22"/>
      <c r="I67" s="22"/>
      <c r="J67" s="22"/>
      <c r="K67" s="22"/>
      <c r="L67" s="22"/>
      <c r="M67" s="22"/>
      <c r="N67" s="22"/>
      <c r="O67" s="22"/>
      <c r="P67" s="22"/>
      <c r="Q67" s="22"/>
      <c r="R67" s="22"/>
      <c r="S67" s="22"/>
      <c r="T67" s="22"/>
      <c r="U67" s="22"/>
      <c r="V67" s="22"/>
      <c r="W67" s="22"/>
      <c r="X67" s="22"/>
      <c r="Y67" s="22"/>
      <c r="Z67" s="22"/>
    </row>
    <row r="68" spans="1:26" s="25" customFormat="1" ht="18.5" hidden="1">
      <c r="A68" s="53" t="s">
        <v>182</v>
      </c>
      <c r="B68" s="59"/>
      <c r="C68" s="47"/>
      <c r="D68" s="34">
        <f>COUNTIF(C27:D36, "NA")</f>
        <v>0</v>
      </c>
      <c r="E68" s="30">
        <f>COUNTIF(C27:D36, "NA")</f>
        <v>0</v>
      </c>
      <c r="F68" s="30">
        <f>COUNTIF(E27:F36, "NA")</f>
        <v>0</v>
      </c>
      <c r="G68" s="22"/>
      <c r="H68" s="22"/>
      <c r="I68" s="22"/>
      <c r="J68" s="22"/>
      <c r="K68" s="22"/>
      <c r="L68" s="22"/>
      <c r="M68" s="22"/>
      <c r="N68" s="22"/>
      <c r="O68" s="22"/>
      <c r="P68" s="22"/>
      <c r="Q68" s="22"/>
      <c r="R68" s="22"/>
      <c r="S68" s="22"/>
      <c r="T68" s="22"/>
      <c r="U68" s="22"/>
      <c r="V68" s="22"/>
      <c r="W68" s="22"/>
      <c r="X68" s="22"/>
      <c r="Y68" s="22"/>
      <c r="Z68" s="22"/>
    </row>
    <row r="69" spans="1:26" s="25" customFormat="1" ht="18.5" hidden="1">
      <c r="A69" s="53" t="s">
        <v>183</v>
      </c>
      <c r="B69" s="59"/>
      <c r="C69" s="47"/>
      <c r="D69" s="34">
        <f>COUNTIF(C39:D43, "NA")</f>
        <v>0</v>
      </c>
      <c r="E69" s="30">
        <f>COUNTIF(C39:D43, "NA")</f>
        <v>0</v>
      </c>
      <c r="F69" s="30">
        <f>COUNTIF(E39:F43, "NA")</f>
        <v>0</v>
      </c>
      <c r="G69" s="22"/>
      <c r="H69" s="22"/>
      <c r="I69" s="22"/>
      <c r="J69" s="22"/>
      <c r="K69" s="22"/>
      <c r="L69" s="22"/>
      <c r="M69" s="22"/>
      <c r="N69" s="22"/>
      <c r="O69" s="22"/>
      <c r="P69" s="22"/>
      <c r="Q69" s="22"/>
      <c r="R69" s="22"/>
      <c r="S69" s="22"/>
      <c r="T69" s="22"/>
      <c r="U69" s="22"/>
      <c r="V69" s="22"/>
      <c r="W69" s="22"/>
      <c r="X69" s="22"/>
      <c r="Y69" s="22"/>
      <c r="Z69" s="22"/>
    </row>
    <row r="70" spans="1:26" s="25" customFormat="1" ht="18.5" hidden="1">
      <c r="A70" s="53" t="s">
        <v>184</v>
      </c>
      <c r="B70" s="59"/>
      <c r="C70" s="47"/>
      <c r="D70" s="34">
        <f>COUNTIF(C46:D52, "NA")</f>
        <v>0</v>
      </c>
      <c r="E70" s="30">
        <f>COUNTIF(C46:D52, "NA")</f>
        <v>0</v>
      </c>
      <c r="F70" s="30">
        <f>COUNTIF(E46:F52, "NA")</f>
        <v>0</v>
      </c>
      <c r="G70" s="22"/>
      <c r="H70" s="22"/>
      <c r="I70" s="22"/>
      <c r="J70" s="22"/>
      <c r="K70" s="22"/>
      <c r="L70" s="22"/>
      <c r="M70" s="22"/>
      <c r="N70" s="22"/>
      <c r="O70" s="22"/>
      <c r="P70" s="22"/>
      <c r="Q70" s="22"/>
      <c r="R70" s="22"/>
      <c r="S70" s="22"/>
      <c r="T70" s="22"/>
      <c r="U70" s="22"/>
      <c r="V70" s="22"/>
      <c r="W70" s="22"/>
      <c r="X70" s="22"/>
      <c r="Y70" s="22"/>
      <c r="Z70" s="22"/>
    </row>
    <row r="71" spans="1:26" s="25" customFormat="1" ht="19.5" customHeight="1">
      <c r="A71" s="53" t="s">
        <v>185</v>
      </c>
      <c r="B71" s="59"/>
      <c r="C71" s="47"/>
      <c r="D71" s="34">
        <f>110-(SUM(D68:D70)* 3)</f>
        <v>110</v>
      </c>
      <c r="E71" s="30" t="e">
        <f>C54</f>
        <v>#VALUE!</v>
      </c>
      <c r="F71" s="30" t="e">
        <f>E54</f>
        <v>#VALUE!</v>
      </c>
      <c r="G71" s="22"/>
      <c r="H71" s="22"/>
      <c r="I71" s="22"/>
      <c r="J71" s="22"/>
      <c r="K71" s="22"/>
      <c r="L71" s="22"/>
      <c r="M71" s="22"/>
      <c r="N71" s="22"/>
      <c r="O71" s="22"/>
      <c r="P71" s="22"/>
      <c r="Q71" s="22"/>
      <c r="R71" s="22"/>
      <c r="S71" s="22"/>
      <c r="T71" s="22"/>
      <c r="U71" s="22"/>
      <c r="V71" s="22"/>
      <c r="W71" s="22"/>
      <c r="X71" s="22"/>
      <c r="Y71" s="22"/>
      <c r="Z71" s="22"/>
    </row>
    <row r="72" spans="1:26" s="25" customFormat="1" ht="18.5" hidden="1">
      <c r="A72" s="53" t="s">
        <v>186</v>
      </c>
      <c r="B72" s="59"/>
      <c r="C72" s="47"/>
      <c r="D72" s="34">
        <f>COUNTIF(F59:F61,"")</f>
        <v>3</v>
      </c>
      <c r="E72" s="30">
        <f>COUNTIF(F59:F61,"")</f>
        <v>3</v>
      </c>
      <c r="F72" s="30">
        <f>COUNTIF(H59:H61,"")</f>
        <v>3</v>
      </c>
      <c r="G72" s="22"/>
      <c r="H72" s="22"/>
      <c r="I72" s="22"/>
      <c r="J72" s="22"/>
      <c r="K72" s="22"/>
      <c r="L72" s="22"/>
      <c r="M72" s="22"/>
      <c r="N72" s="22"/>
      <c r="O72" s="22"/>
      <c r="P72" s="22"/>
      <c r="Q72" s="22"/>
      <c r="R72" s="22"/>
      <c r="S72" s="22"/>
      <c r="T72" s="22"/>
      <c r="U72" s="22"/>
      <c r="V72" s="22"/>
      <c r="W72" s="22"/>
      <c r="X72" s="22"/>
      <c r="Y72" s="22"/>
      <c r="Z72" s="22"/>
    </row>
    <row r="73" spans="1:26" s="25" customFormat="1" ht="19.5" customHeight="1">
      <c r="A73" s="53" t="s">
        <v>187</v>
      </c>
      <c r="B73" s="59"/>
      <c r="C73" s="47"/>
      <c r="D73" s="34">
        <f>9+(D72*(-3))</f>
        <v>0</v>
      </c>
      <c r="E73" s="30">
        <f>F62</f>
        <v>0</v>
      </c>
      <c r="F73" s="30">
        <f>F62</f>
        <v>0</v>
      </c>
      <c r="G73" s="22"/>
      <c r="H73" s="22"/>
      <c r="I73" s="22"/>
      <c r="J73" s="22"/>
      <c r="K73" s="22"/>
      <c r="L73" s="22"/>
      <c r="M73" s="22"/>
      <c r="N73" s="22"/>
      <c r="O73" s="22"/>
      <c r="P73" s="22"/>
      <c r="Q73" s="22"/>
      <c r="R73" s="22"/>
      <c r="S73" s="22"/>
      <c r="T73" s="22"/>
      <c r="U73" s="22"/>
      <c r="V73" s="22"/>
      <c r="W73" s="22"/>
      <c r="X73" s="22"/>
      <c r="Y73" s="22"/>
      <c r="Z73" s="22"/>
    </row>
    <row r="74" spans="1:26" s="25" customFormat="1" ht="19.5" customHeight="1">
      <c r="A74" s="75" t="s">
        <v>188</v>
      </c>
      <c r="B74" s="59"/>
      <c r="C74" s="59"/>
      <c r="D74" s="47"/>
      <c r="E74" s="35" t="e">
        <f>E67+E71-E73</f>
        <v>#VALUE!</v>
      </c>
      <c r="F74" s="35" t="e">
        <f t="shared" ref="F74" si="1">F67+F71-F73</f>
        <v>#VALUE!</v>
      </c>
      <c r="G74" s="22"/>
      <c r="H74" s="22"/>
      <c r="I74" s="22"/>
      <c r="J74" s="22"/>
      <c r="K74" s="22"/>
      <c r="L74" s="22"/>
      <c r="M74" s="22"/>
      <c r="N74" s="22"/>
      <c r="O74" s="22"/>
      <c r="P74" s="22"/>
      <c r="Q74" s="22"/>
      <c r="R74" s="22"/>
      <c r="S74" s="22"/>
      <c r="T74" s="22"/>
      <c r="U74" s="22"/>
      <c r="V74" s="22"/>
      <c r="W74" s="22"/>
      <c r="X74" s="22"/>
      <c r="Y74" s="22"/>
      <c r="Z74" s="22"/>
    </row>
    <row r="75" spans="1:26" s="25" customFormat="1" ht="19.5" customHeight="1">
      <c r="A75" s="75" t="s">
        <v>189</v>
      </c>
      <c r="B75" s="59"/>
      <c r="C75" s="59"/>
      <c r="D75" s="47"/>
      <c r="E75" s="45" t="e">
        <f>E74/(D73+D71+D67)</f>
        <v>#VALUE!</v>
      </c>
      <c r="F75" s="45" t="e">
        <f>F74/(D73+D71+D67)</f>
        <v>#VALUE!</v>
      </c>
      <c r="G75" s="22"/>
      <c r="H75" s="22"/>
      <c r="I75" s="22"/>
      <c r="J75" s="22"/>
      <c r="K75" s="22"/>
      <c r="L75" s="22"/>
      <c r="M75" s="22"/>
      <c r="N75" s="22"/>
      <c r="O75" s="22"/>
      <c r="P75" s="22"/>
      <c r="Q75" s="22"/>
      <c r="R75" s="22"/>
      <c r="S75" s="22"/>
      <c r="T75" s="22"/>
      <c r="U75" s="22"/>
      <c r="V75" s="22"/>
      <c r="W75" s="22"/>
      <c r="X75" s="22"/>
      <c r="Y75" s="22"/>
      <c r="Z75" s="22"/>
    </row>
    <row r="76" spans="1:26" s="25" customFormat="1" ht="19.5" customHeight="1">
      <c r="A76" s="75" t="s">
        <v>190</v>
      </c>
      <c r="B76" s="76"/>
      <c r="C76" s="76"/>
      <c r="D76" s="77"/>
      <c r="E76" s="36" t="e">
        <f>IF(E75=0%,"",IF(E75&lt;40%,"Fails to Meet Job Requirements",IF(E75&lt;55%,"Occassionally Meets Job Requirements",IF(E75&lt;70%,"Meets Job Requirements",IF(E75&lt;86%,"Exceeds Job Requirements","Greatly Exceeds Job Requirements")))))</f>
        <v>#VALUE!</v>
      </c>
      <c r="F76" s="36" t="e">
        <f t="shared" ref="F76" si="2">IF(F75=0%,"",IF(F75&lt;40%,"Fails to Meet Job Requirements",IF(F75&lt;55%,"Occassionally Meets Job Requirements",IF(F75&lt;70%,"Meets Job Requirements",IF(F75&lt;86%,"Exceeds Job Requirements","Greatly Exceeds Job Requirements")))))</f>
        <v>#VALUE!</v>
      </c>
      <c r="G76" s="22"/>
      <c r="H76" s="22"/>
      <c r="I76" s="22"/>
      <c r="J76" s="22"/>
      <c r="K76" s="22"/>
      <c r="L76" s="22"/>
      <c r="M76" s="22"/>
      <c r="N76" s="22"/>
      <c r="O76" s="22"/>
      <c r="P76" s="22"/>
      <c r="Q76" s="22"/>
      <c r="R76" s="22"/>
      <c r="S76" s="22"/>
      <c r="T76" s="22"/>
      <c r="U76" s="22"/>
      <c r="V76" s="22"/>
      <c r="W76" s="22"/>
      <c r="X76" s="22"/>
      <c r="Y76" s="22"/>
      <c r="Z76" s="22"/>
    </row>
    <row r="77" spans="1:26" s="25" customFormat="1" ht="19.5" customHeight="1">
      <c r="A77" s="58" t="s">
        <v>217</v>
      </c>
      <c r="B77" s="59"/>
      <c r="C77" s="59"/>
      <c r="D77" s="59"/>
      <c r="E77" s="59"/>
      <c r="F77" s="47"/>
      <c r="G77" s="22"/>
      <c r="H77" s="22"/>
      <c r="I77" s="22"/>
      <c r="J77" s="22"/>
      <c r="K77" s="22"/>
      <c r="L77" s="22"/>
      <c r="M77" s="22"/>
      <c r="N77" s="22"/>
      <c r="O77" s="22"/>
      <c r="P77" s="22"/>
      <c r="Q77" s="22"/>
      <c r="R77" s="22"/>
      <c r="S77" s="22"/>
      <c r="T77" s="22"/>
      <c r="U77" s="22"/>
      <c r="V77" s="22"/>
      <c r="W77" s="22"/>
      <c r="X77" s="22"/>
      <c r="Y77" s="22"/>
      <c r="Z77" s="22"/>
    </row>
    <row r="78" spans="1:26" s="25" customFormat="1" ht="19.5" customHeight="1">
      <c r="A78" s="72" t="s">
        <v>216</v>
      </c>
      <c r="B78" s="78"/>
      <c r="C78" s="61" t="s">
        <v>191</v>
      </c>
      <c r="D78" s="59"/>
      <c r="E78" s="59"/>
      <c r="F78" s="47"/>
      <c r="G78" s="22"/>
      <c r="H78" s="22"/>
      <c r="I78" s="22"/>
      <c r="J78" s="22"/>
      <c r="K78" s="22"/>
      <c r="L78" s="22"/>
      <c r="M78" s="22"/>
      <c r="N78" s="22"/>
      <c r="O78" s="22"/>
      <c r="P78" s="22"/>
      <c r="Q78" s="22"/>
      <c r="R78" s="22"/>
      <c r="S78" s="22"/>
      <c r="T78" s="22"/>
      <c r="U78" s="22"/>
      <c r="V78" s="22"/>
      <c r="W78" s="22"/>
      <c r="X78" s="22"/>
      <c r="Y78" s="22"/>
      <c r="Z78" s="22"/>
    </row>
    <row r="79" spans="1:26" s="25" customFormat="1" ht="19.5" customHeight="1">
      <c r="A79" s="72" t="s">
        <v>226</v>
      </c>
      <c r="B79" s="78"/>
      <c r="C79" s="33" t="s">
        <v>192</v>
      </c>
      <c r="D79" s="33" t="s">
        <v>193</v>
      </c>
      <c r="E79" s="33" t="s">
        <v>194</v>
      </c>
      <c r="F79" s="33" t="s">
        <v>195</v>
      </c>
      <c r="G79" s="22"/>
      <c r="H79" s="22"/>
      <c r="I79" s="22"/>
      <c r="J79" s="22"/>
      <c r="K79" s="22"/>
      <c r="L79" s="22"/>
      <c r="M79" s="22"/>
      <c r="N79" s="22"/>
      <c r="O79" s="22"/>
      <c r="P79" s="22"/>
      <c r="Q79" s="22"/>
      <c r="R79" s="22"/>
      <c r="S79" s="22"/>
      <c r="T79" s="22"/>
      <c r="U79" s="22"/>
      <c r="V79" s="22"/>
      <c r="W79" s="22"/>
      <c r="X79" s="22"/>
      <c r="Y79" s="22"/>
      <c r="Z79" s="22"/>
    </row>
    <row r="80" spans="1:26" s="25" customFormat="1" ht="18.5">
      <c r="A80" s="37" t="s">
        <v>29</v>
      </c>
      <c r="B80" s="38"/>
      <c r="C80" s="39"/>
      <c r="D80" s="23"/>
      <c r="E80" s="23"/>
      <c r="F80" s="23"/>
      <c r="G80" s="22"/>
      <c r="H80" s="22"/>
      <c r="I80" s="22"/>
      <c r="J80" s="22"/>
      <c r="K80" s="22"/>
      <c r="L80" s="22"/>
      <c r="M80" s="22"/>
      <c r="N80" s="22"/>
      <c r="O80" s="22"/>
      <c r="P80" s="22"/>
      <c r="Q80" s="22"/>
      <c r="R80" s="22"/>
      <c r="S80" s="22"/>
      <c r="T80" s="22"/>
      <c r="U80" s="22"/>
      <c r="V80" s="22"/>
      <c r="W80" s="22"/>
      <c r="X80" s="22"/>
      <c r="Y80" s="22"/>
      <c r="Z80" s="22"/>
    </row>
    <row r="81" spans="1:26" s="25" customFormat="1" ht="18.5">
      <c r="A81" s="37" t="s">
        <v>32</v>
      </c>
      <c r="B81" s="38"/>
      <c r="C81" s="39"/>
      <c r="D81" s="23"/>
      <c r="E81" s="23"/>
      <c r="F81" s="23"/>
      <c r="G81" s="22"/>
      <c r="H81" s="22"/>
      <c r="I81" s="22"/>
      <c r="J81" s="22"/>
      <c r="K81" s="22"/>
      <c r="L81" s="22"/>
      <c r="M81" s="22"/>
      <c r="N81" s="22"/>
      <c r="O81" s="22"/>
      <c r="P81" s="22"/>
      <c r="Q81" s="22"/>
      <c r="R81" s="22"/>
      <c r="S81" s="22"/>
      <c r="T81" s="22"/>
      <c r="U81" s="22"/>
      <c r="V81" s="22"/>
      <c r="W81" s="22"/>
      <c r="X81" s="22"/>
      <c r="Y81" s="22"/>
      <c r="Z81" s="22"/>
    </row>
    <row r="82" spans="1:26" s="25" customFormat="1" ht="18.5">
      <c r="A82" s="37" t="s">
        <v>34</v>
      </c>
      <c r="B82" s="38"/>
      <c r="C82" s="40"/>
      <c r="D82" s="23"/>
      <c r="E82" s="23"/>
      <c r="F82" s="23"/>
      <c r="G82" s="22"/>
      <c r="H82" s="22"/>
      <c r="I82" s="22"/>
      <c r="J82" s="22"/>
      <c r="K82" s="22"/>
      <c r="L82" s="22"/>
      <c r="M82" s="22"/>
      <c r="N82" s="22"/>
      <c r="O82" s="22"/>
      <c r="P82" s="22"/>
      <c r="Q82" s="22"/>
      <c r="R82" s="22"/>
      <c r="S82" s="22"/>
      <c r="T82" s="22"/>
      <c r="U82" s="22"/>
      <c r="V82" s="22"/>
      <c r="W82" s="22"/>
      <c r="X82" s="22"/>
      <c r="Y82" s="22"/>
      <c r="Z82" s="22"/>
    </row>
    <row r="83" spans="1:26" s="25" customFormat="1" ht="47" customHeight="1">
      <c r="A83" s="37" t="s">
        <v>36</v>
      </c>
      <c r="B83" s="41"/>
      <c r="C83" s="32"/>
      <c r="D83" s="39"/>
      <c r="E83" s="23"/>
      <c r="F83" s="23"/>
      <c r="G83" s="22"/>
      <c r="H83" s="22"/>
      <c r="I83" s="22"/>
      <c r="J83" s="22"/>
      <c r="K83" s="22"/>
      <c r="L83" s="22"/>
      <c r="M83" s="22"/>
      <c r="N83" s="22"/>
      <c r="O83" s="22"/>
      <c r="P83" s="22"/>
      <c r="Q83" s="22"/>
      <c r="R83" s="22"/>
      <c r="S83" s="22"/>
      <c r="T83" s="22"/>
      <c r="U83" s="22"/>
      <c r="V83" s="22"/>
      <c r="W83" s="22"/>
      <c r="X83" s="22"/>
      <c r="Y83" s="22"/>
      <c r="Z83" s="22"/>
    </row>
    <row r="84" spans="1:26" s="25" customFormat="1" ht="19.5" customHeight="1">
      <c r="A84" s="58" t="s">
        <v>196</v>
      </c>
      <c r="B84" s="66"/>
      <c r="C84" s="66"/>
      <c r="D84" s="59"/>
      <c r="E84" s="59"/>
      <c r="F84" s="47"/>
      <c r="G84" s="22"/>
      <c r="H84" s="22"/>
      <c r="I84" s="22"/>
      <c r="J84" s="22"/>
      <c r="K84" s="22"/>
      <c r="L84" s="22"/>
      <c r="M84" s="22"/>
      <c r="N84" s="22"/>
      <c r="O84" s="22"/>
      <c r="P84" s="22"/>
      <c r="Q84" s="22"/>
      <c r="R84" s="22"/>
      <c r="S84" s="22"/>
      <c r="T84" s="22"/>
      <c r="U84" s="22"/>
      <c r="V84" s="22"/>
      <c r="W84" s="22"/>
      <c r="X84" s="22"/>
      <c r="Y84" s="22"/>
      <c r="Z84" s="22"/>
    </row>
    <row r="85" spans="1:26" s="25" customFormat="1" ht="19.5" customHeight="1">
      <c r="A85" s="61" t="s">
        <v>197</v>
      </c>
      <c r="B85" s="59"/>
      <c r="C85" s="47"/>
      <c r="D85" s="33" t="s">
        <v>198</v>
      </c>
      <c r="E85" s="61" t="s">
        <v>199</v>
      </c>
      <c r="F85" s="47"/>
      <c r="G85" s="22"/>
      <c r="H85" s="22"/>
      <c r="I85" s="22"/>
      <c r="J85" s="22"/>
      <c r="K85" s="22"/>
      <c r="L85" s="22"/>
      <c r="M85" s="22"/>
      <c r="N85" s="22"/>
      <c r="O85" s="22"/>
      <c r="P85" s="22"/>
      <c r="Q85" s="22"/>
      <c r="R85" s="22"/>
      <c r="S85" s="22"/>
      <c r="T85" s="22"/>
      <c r="U85" s="22"/>
      <c r="V85" s="22"/>
      <c r="W85" s="22"/>
      <c r="X85" s="22"/>
      <c r="Y85" s="22"/>
      <c r="Z85" s="22"/>
    </row>
    <row r="86" spans="1:26" s="25" customFormat="1" ht="19.5" customHeight="1">
      <c r="A86" s="61" t="s">
        <v>200</v>
      </c>
      <c r="B86" s="59"/>
      <c r="C86" s="59"/>
      <c r="D86" s="59"/>
      <c r="E86" s="59"/>
      <c r="F86" s="47"/>
      <c r="G86" s="22"/>
      <c r="H86" s="22"/>
      <c r="I86" s="22"/>
      <c r="J86" s="22"/>
      <c r="K86" s="22"/>
      <c r="L86" s="22"/>
      <c r="M86" s="22"/>
      <c r="N86" s="22"/>
      <c r="O86" s="22"/>
      <c r="P86" s="22"/>
      <c r="Q86" s="22"/>
      <c r="R86" s="22"/>
      <c r="S86" s="22"/>
      <c r="T86" s="22"/>
      <c r="U86" s="22"/>
      <c r="V86" s="22"/>
      <c r="W86" s="22"/>
      <c r="X86" s="22"/>
      <c r="Y86" s="22"/>
      <c r="Z86" s="22"/>
    </row>
    <row r="87" spans="1:26" s="25" customFormat="1" ht="19.5" customHeight="1">
      <c r="A87" s="79" t="s">
        <v>201</v>
      </c>
      <c r="B87" s="59"/>
      <c r="C87" s="47"/>
      <c r="D87" s="34"/>
      <c r="E87" s="46"/>
      <c r="F87" s="47"/>
      <c r="G87" s="22"/>
      <c r="H87" s="22"/>
      <c r="I87" s="22"/>
      <c r="J87" s="22"/>
      <c r="K87" s="22"/>
      <c r="L87" s="22"/>
      <c r="M87" s="22"/>
      <c r="N87" s="22"/>
      <c r="O87" s="22"/>
      <c r="P87" s="22"/>
      <c r="Q87" s="22"/>
      <c r="R87" s="22"/>
      <c r="S87" s="22"/>
      <c r="T87" s="22"/>
      <c r="U87" s="22"/>
      <c r="V87" s="22"/>
      <c r="W87" s="22"/>
      <c r="X87" s="22"/>
      <c r="Y87" s="22"/>
      <c r="Z87" s="22"/>
    </row>
    <row r="88" spans="1:26" s="25" customFormat="1" ht="19.5" customHeight="1">
      <c r="A88" s="79" t="s">
        <v>202</v>
      </c>
      <c r="B88" s="59"/>
      <c r="C88" s="47"/>
      <c r="D88" s="34"/>
      <c r="E88" s="46"/>
      <c r="F88" s="47"/>
      <c r="G88" s="22"/>
      <c r="H88" s="22"/>
      <c r="I88" s="22"/>
      <c r="J88" s="22"/>
      <c r="K88" s="22"/>
      <c r="L88" s="22"/>
      <c r="M88" s="22"/>
      <c r="N88" s="22"/>
      <c r="O88" s="22"/>
      <c r="P88" s="22"/>
      <c r="Q88" s="22"/>
      <c r="R88" s="22"/>
      <c r="S88" s="22"/>
      <c r="T88" s="22"/>
      <c r="U88" s="22"/>
      <c r="V88" s="22"/>
      <c r="W88" s="22"/>
      <c r="X88" s="22"/>
      <c r="Y88" s="22"/>
      <c r="Z88" s="22"/>
    </row>
    <row r="89" spans="1:26" s="25" customFormat="1" ht="19.5" customHeight="1">
      <c r="A89" s="79" t="s">
        <v>203</v>
      </c>
      <c r="B89" s="59"/>
      <c r="C89" s="47"/>
      <c r="D89" s="34"/>
      <c r="E89" s="46"/>
      <c r="F89" s="47"/>
      <c r="G89" s="22"/>
      <c r="H89" s="22"/>
      <c r="I89" s="22"/>
      <c r="J89" s="22"/>
      <c r="K89" s="22"/>
      <c r="L89" s="22"/>
      <c r="M89" s="22"/>
      <c r="N89" s="22"/>
      <c r="O89" s="22"/>
      <c r="P89" s="22"/>
      <c r="Q89" s="22"/>
      <c r="R89" s="22"/>
      <c r="S89" s="22"/>
      <c r="T89" s="22"/>
      <c r="U89" s="22"/>
      <c r="V89" s="22"/>
      <c r="W89" s="22"/>
      <c r="X89" s="22"/>
      <c r="Y89" s="22"/>
      <c r="Z89" s="22"/>
    </row>
    <row r="90" spans="1:26" s="25" customFormat="1" ht="19.5" customHeight="1">
      <c r="A90" s="79" t="s">
        <v>204</v>
      </c>
      <c r="B90" s="59"/>
      <c r="C90" s="47"/>
      <c r="D90" s="34"/>
      <c r="E90" s="46"/>
      <c r="F90" s="47"/>
      <c r="G90" s="22"/>
      <c r="H90" s="22"/>
      <c r="I90" s="22"/>
      <c r="J90" s="22"/>
      <c r="K90" s="22"/>
      <c r="L90" s="22"/>
      <c r="M90" s="22"/>
      <c r="N90" s="22"/>
      <c r="O90" s="22"/>
      <c r="P90" s="22"/>
      <c r="Q90" s="22"/>
      <c r="R90" s="22"/>
      <c r="S90" s="22"/>
      <c r="T90" s="22"/>
      <c r="U90" s="22"/>
      <c r="V90" s="22"/>
      <c r="W90" s="22"/>
      <c r="X90" s="22"/>
      <c r="Y90" s="22"/>
      <c r="Z90" s="22"/>
    </row>
    <row r="91" spans="1:26" s="25" customFormat="1" ht="19.5" customHeight="1">
      <c r="A91" s="79" t="s">
        <v>205</v>
      </c>
      <c r="B91" s="59"/>
      <c r="C91" s="47"/>
      <c r="D91" s="34"/>
      <c r="E91" s="46"/>
      <c r="F91" s="47"/>
      <c r="G91" s="22"/>
      <c r="H91" s="22"/>
      <c r="I91" s="22"/>
      <c r="J91" s="22"/>
      <c r="K91" s="22"/>
      <c r="L91" s="22"/>
      <c r="M91" s="22"/>
      <c r="N91" s="22"/>
      <c r="O91" s="22"/>
      <c r="P91" s="22"/>
      <c r="Q91" s="22"/>
      <c r="R91" s="22"/>
      <c r="S91" s="22"/>
      <c r="T91" s="22"/>
      <c r="U91" s="22"/>
      <c r="V91" s="22"/>
      <c r="W91" s="22"/>
      <c r="X91" s="22"/>
      <c r="Y91" s="22"/>
      <c r="Z91" s="22"/>
    </row>
    <row r="92" spans="1:26" s="25" customFormat="1" ht="19.5" customHeight="1" thickBot="1">
      <c r="A92" s="79" t="s">
        <v>206</v>
      </c>
      <c r="B92" s="59"/>
      <c r="C92" s="47"/>
      <c r="D92" s="34"/>
      <c r="E92" s="46"/>
      <c r="F92" s="47"/>
      <c r="G92" s="22"/>
      <c r="H92" s="22"/>
      <c r="I92" s="22"/>
      <c r="J92" s="22"/>
      <c r="K92" s="22"/>
      <c r="L92" s="22"/>
      <c r="M92" s="22"/>
      <c r="N92" s="22"/>
      <c r="O92" s="22"/>
      <c r="P92" s="22"/>
      <c r="Q92" s="22"/>
      <c r="R92" s="22"/>
      <c r="S92" s="22"/>
      <c r="T92" s="22"/>
      <c r="U92" s="22"/>
      <c r="V92" s="22"/>
      <c r="W92" s="22"/>
      <c r="X92" s="22"/>
      <c r="Y92" s="22"/>
      <c r="Z92" s="22"/>
    </row>
    <row r="93" spans="1:26" s="25" customFormat="1" ht="41.5" customHeight="1" thickBot="1">
      <c r="A93" s="42" t="s">
        <v>240</v>
      </c>
      <c r="B93" s="81"/>
      <c r="C93" s="82"/>
      <c r="D93" s="82"/>
      <c r="E93" s="82"/>
      <c r="F93" s="83"/>
      <c r="G93" s="22"/>
      <c r="H93" s="22"/>
      <c r="I93" s="22"/>
      <c r="J93" s="22"/>
      <c r="K93" s="22"/>
      <c r="L93" s="22"/>
      <c r="M93" s="22"/>
      <c r="N93" s="22"/>
      <c r="O93" s="22"/>
      <c r="P93" s="22"/>
      <c r="Q93" s="22"/>
      <c r="R93" s="22"/>
      <c r="S93" s="22"/>
      <c r="T93" s="22"/>
      <c r="U93" s="22"/>
      <c r="V93" s="22"/>
      <c r="W93" s="22"/>
      <c r="X93" s="22"/>
      <c r="Y93" s="22"/>
      <c r="Z93" s="22"/>
    </row>
    <row r="94" spans="1:26" s="25" customFormat="1" ht="19.5" customHeight="1">
      <c r="A94" s="61" t="s">
        <v>207</v>
      </c>
      <c r="B94" s="59"/>
      <c r="C94" s="59"/>
      <c r="D94" s="59"/>
      <c r="E94" s="59"/>
      <c r="F94" s="47"/>
      <c r="G94" s="22"/>
      <c r="H94" s="22"/>
      <c r="I94" s="22"/>
      <c r="J94" s="22"/>
      <c r="K94" s="22"/>
      <c r="L94" s="22"/>
      <c r="M94" s="22"/>
      <c r="N94" s="22"/>
      <c r="O94" s="22"/>
      <c r="P94" s="22"/>
      <c r="Q94" s="22"/>
      <c r="R94" s="22"/>
      <c r="S94" s="22"/>
      <c r="T94" s="22"/>
      <c r="U94" s="22"/>
      <c r="V94" s="22"/>
      <c r="W94" s="22"/>
      <c r="X94" s="22"/>
      <c r="Y94" s="22"/>
      <c r="Z94" s="22"/>
    </row>
    <row r="95" spans="1:26" s="25" customFormat="1" ht="19.5" customHeight="1">
      <c r="A95" s="79" t="s">
        <v>208</v>
      </c>
      <c r="B95" s="59"/>
      <c r="C95" s="47"/>
      <c r="D95" s="34"/>
      <c r="E95" s="46"/>
      <c r="F95" s="47"/>
      <c r="G95" s="22"/>
      <c r="H95" s="22"/>
      <c r="I95" s="22"/>
      <c r="J95" s="22"/>
      <c r="K95" s="22"/>
      <c r="L95" s="22"/>
      <c r="M95" s="22"/>
      <c r="N95" s="22"/>
      <c r="O95" s="22"/>
      <c r="P95" s="22"/>
      <c r="Q95" s="22"/>
      <c r="R95" s="22"/>
      <c r="S95" s="22"/>
      <c r="T95" s="22"/>
      <c r="U95" s="22"/>
      <c r="V95" s="22"/>
      <c r="W95" s="22"/>
      <c r="X95" s="22"/>
      <c r="Y95" s="22"/>
      <c r="Z95" s="22"/>
    </row>
    <row r="96" spans="1:26" s="25" customFormat="1" ht="19.5" customHeight="1">
      <c r="A96" s="79" t="s">
        <v>209</v>
      </c>
      <c r="B96" s="59"/>
      <c r="C96" s="47"/>
      <c r="D96" s="34"/>
      <c r="E96" s="46"/>
      <c r="F96" s="47"/>
      <c r="G96" s="22"/>
      <c r="H96" s="22"/>
      <c r="I96" s="22"/>
      <c r="J96" s="22"/>
      <c r="K96" s="22"/>
      <c r="L96" s="22"/>
      <c r="M96" s="22"/>
      <c r="N96" s="22"/>
      <c r="O96" s="22"/>
      <c r="P96" s="22"/>
      <c r="Q96" s="22"/>
      <c r="R96" s="22"/>
      <c r="S96" s="22"/>
      <c r="T96" s="22"/>
      <c r="U96" s="22"/>
      <c r="V96" s="22"/>
      <c r="W96" s="22"/>
      <c r="X96" s="22"/>
      <c r="Y96" s="22"/>
      <c r="Z96" s="22"/>
    </row>
    <row r="97" spans="1:26" s="25" customFormat="1" ht="19.5" customHeight="1">
      <c r="A97" s="79" t="s">
        <v>210</v>
      </c>
      <c r="B97" s="59"/>
      <c r="C97" s="47"/>
      <c r="D97" s="34"/>
      <c r="E97" s="46"/>
      <c r="F97" s="47"/>
      <c r="G97" s="22"/>
      <c r="H97" s="22"/>
      <c r="I97" s="22"/>
      <c r="J97" s="22"/>
      <c r="K97" s="22"/>
      <c r="L97" s="22"/>
      <c r="M97" s="22"/>
      <c r="N97" s="22"/>
      <c r="O97" s="22"/>
      <c r="P97" s="22"/>
      <c r="Q97" s="22"/>
      <c r="R97" s="22"/>
      <c r="S97" s="22"/>
      <c r="T97" s="22"/>
      <c r="U97" s="22"/>
      <c r="V97" s="22"/>
      <c r="W97" s="22"/>
      <c r="X97" s="22"/>
      <c r="Y97" s="22"/>
      <c r="Z97" s="22"/>
    </row>
    <row r="98" spans="1:26" s="25" customFormat="1" ht="19.5" customHeight="1" thickBot="1">
      <c r="A98" s="79" t="s">
        <v>211</v>
      </c>
      <c r="B98" s="59"/>
      <c r="C98" s="47"/>
      <c r="D98" s="34"/>
      <c r="E98" s="46"/>
      <c r="F98" s="47"/>
      <c r="G98" s="22"/>
      <c r="H98" s="22"/>
      <c r="I98" s="22"/>
      <c r="J98" s="22"/>
      <c r="K98" s="22"/>
      <c r="L98" s="22"/>
      <c r="M98" s="22"/>
      <c r="N98" s="22"/>
      <c r="O98" s="22"/>
      <c r="P98" s="22"/>
      <c r="Q98" s="22"/>
      <c r="R98" s="22"/>
      <c r="S98" s="22"/>
      <c r="T98" s="22"/>
      <c r="U98" s="22"/>
      <c r="V98" s="22"/>
      <c r="W98" s="22"/>
      <c r="X98" s="22"/>
      <c r="Y98" s="22"/>
      <c r="Z98" s="22"/>
    </row>
    <row r="99" spans="1:26" s="25" customFormat="1" ht="41.5" customHeight="1" thickBot="1">
      <c r="A99" s="42" t="s">
        <v>241</v>
      </c>
      <c r="B99" s="81"/>
      <c r="C99" s="82"/>
      <c r="D99" s="82"/>
      <c r="E99" s="82"/>
      <c r="F99" s="83"/>
      <c r="G99" s="22"/>
      <c r="H99" s="22"/>
      <c r="I99" s="22"/>
      <c r="J99" s="22"/>
      <c r="K99" s="22"/>
      <c r="L99" s="22"/>
      <c r="M99" s="22"/>
      <c r="N99" s="22"/>
      <c r="O99" s="22"/>
      <c r="P99" s="22"/>
      <c r="Q99" s="22"/>
      <c r="R99" s="22"/>
      <c r="S99" s="22"/>
      <c r="T99" s="22"/>
      <c r="U99" s="22"/>
      <c r="V99" s="22"/>
      <c r="W99" s="22"/>
      <c r="X99" s="22"/>
      <c r="Y99" s="22"/>
      <c r="Z99" s="22"/>
    </row>
    <row r="100" spans="1:26" s="25" customFormat="1" ht="19.5" customHeight="1">
      <c r="A100" s="58" t="s">
        <v>212</v>
      </c>
      <c r="B100" s="59"/>
      <c r="C100" s="59"/>
      <c r="D100" s="59"/>
      <c r="E100" s="59"/>
      <c r="F100" s="47"/>
      <c r="G100" s="22"/>
      <c r="H100" s="22"/>
      <c r="I100" s="22"/>
      <c r="J100" s="22"/>
      <c r="K100" s="22"/>
      <c r="L100" s="22"/>
      <c r="M100" s="22"/>
      <c r="N100" s="22"/>
      <c r="O100" s="22"/>
      <c r="P100" s="22"/>
      <c r="Q100" s="22"/>
      <c r="R100" s="22"/>
      <c r="S100" s="22"/>
      <c r="T100" s="22"/>
      <c r="U100" s="22"/>
      <c r="V100" s="22"/>
      <c r="W100" s="22"/>
      <c r="X100" s="22"/>
      <c r="Y100" s="22"/>
      <c r="Z100" s="22"/>
    </row>
    <row r="101" spans="1:26" s="25" customFormat="1" ht="19.5" customHeight="1">
      <c r="A101" s="80" t="s">
        <v>97</v>
      </c>
      <c r="B101" s="47"/>
      <c r="C101" s="61" t="s">
        <v>213</v>
      </c>
      <c r="D101" s="47"/>
      <c r="E101" s="61" t="s">
        <v>99</v>
      </c>
      <c r="F101" s="47"/>
      <c r="G101" s="22"/>
      <c r="H101" s="22"/>
      <c r="I101" s="22"/>
      <c r="J101" s="22"/>
      <c r="K101" s="22"/>
      <c r="L101" s="22"/>
      <c r="M101" s="22"/>
      <c r="N101" s="22"/>
      <c r="O101" s="22"/>
      <c r="P101" s="22"/>
      <c r="Q101" s="22"/>
      <c r="R101" s="22"/>
      <c r="S101" s="22"/>
      <c r="T101" s="22"/>
      <c r="U101" s="22"/>
      <c r="V101" s="22"/>
      <c r="W101" s="22"/>
      <c r="X101" s="22"/>
      <c r="Y101" s="22"/>
      <c r="Z101" s="22"/>
    </row>
    <row r="102" spans="1:26" s="25" customFormat="1" ht="60" customHeight="1">
      <c r="A102" s="84"/>
      <c r="B102" s="47"/>
      <c r="C102" s="46"/>
      <c r="D102" s="47"/>
      <c r="E102" s="46"/>
      <c r="F102" s="47"/>
      <c r="G102" s="22"/>
      <c r="H102" s="22"/>
      <c r="I102" s="22"/>
      <c r="J102" s="22"/>
      <c r="K102" s="22"/>
      <c r="L102" s="22"/>
      <c r="M102" s="22"/>
      <c r="N102" s="22"/>
      <c r="O102" s="22"/>
      <c r="P102" s="22"/>
      <c r="Q102" s="22"/>
      <c r="R102" s="22"/>
      <c r="S102" s="22"/>
      <c r="T102" s="22"/>
      <c r="U102" s="22"/>
      <c r="V102" s="22"/>
      <c r="W102" s="22"/>
      <c r="X102" s="22"/>
      <c r="Y102" s="22"/>
      <c r="Z102" s="22"/>
    </row>
    <row r="103" spans="1:26" s="25" customFormat="1" ht="19.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s="25" customFormat="1" ht="19.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s="25" customFormat="1" ht="19.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s="25" customFormat="1" ht="19.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s="25" customFormat="1" ht="19.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s="25" customFormat="1" ht="19.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s="25" customFormat="1" ht="19.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s="25" customFormat="1" ht="19.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s="25" customFormat="1" ht="19.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s="25" customFormat="1" ht="19.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s="25" customFormat="1" ht="19.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s="25" customFormat="1" ht="19.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s="25" customFormat="1" ht="19.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s="25" customFormat="1" ht="19.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s="25" customFormat="1" ht="19.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s="25" customFormat="1" ht="19.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s="25" customFormat="1" ht="19.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s="25" customFormat="1" ht="19.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s="25" customFormat="1" ht="19.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s="25" customFormat="1" ht="19.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s="25" customFormat="1" ht="19.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s="25" customFormat="1" ht="19.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s="25" customFormat="1" ht="19.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s="25" customFormat="1" ht="19.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s="25" customFormat="1" ht="19.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s="25" customFormat="1" ht="19.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s="25" customFormat="1" ht="19.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s="25" customFormat="1" ht="19.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s="25" customFormat="1" ht="19.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s="25" customFormat="1" ht="19.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s="25" customFormat="1" ht="19.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s="25" customFormat="1" ht="19.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9.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9.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9.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9.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9.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9.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9.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9.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9.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9.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9.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9.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9.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9.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9.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9.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9.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9.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9.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9.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9.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9.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9.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9.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9.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9.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9.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9.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9.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9.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9.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9.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9.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9.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9.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9.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9.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9.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9.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9.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9.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9.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9.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9.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9.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9.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9.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9.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9.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9.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9.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9.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9.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9.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9.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9.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9.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9.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9.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9.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9.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9.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9.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9.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9.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9.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9.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9.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9.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9.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9.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9.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9.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9.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9.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9.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9.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9.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9.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9.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9.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9.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9.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9.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9.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9.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9.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9.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9.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9.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9.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9.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9.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9.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9.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9.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9.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9.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9.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9.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9.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9.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9.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9.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9.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9.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9.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9.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9.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9.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9.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9.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9.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9.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9.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9.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9.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9.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9.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9.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9.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9.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9.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9.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9.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9.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9.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9.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9.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9.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9.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9.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9.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9.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9.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9.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9.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9.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9.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9.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9.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9.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9.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9.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9.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9.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9.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9.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9.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9.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9.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9.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9.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9.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9.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9.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9.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9.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9.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9.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9.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9.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9.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9.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9.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9.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9.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9.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9.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9.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9.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9.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9.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9.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9.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9.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9.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9.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9.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9.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9.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9.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9.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9.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9.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9.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9.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9.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9.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9.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9.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9.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9.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9.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9.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9.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9.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9.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9.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9.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9.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9.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9.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9.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9.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9.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9.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9.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9.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9.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9.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9.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9.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9.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9.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9.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9.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9.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9.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9.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9.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9.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9.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9.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9.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9.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9.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9.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9.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9.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9.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9.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9.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9.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9.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9.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9.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9.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9.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9.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9.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9.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9.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9.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9.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9.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9.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9.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9.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9.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9.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9.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9.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9.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9.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9.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9.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9.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9.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9.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9.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9.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9.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9.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9.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9.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9.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9.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9.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9.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9.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9.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9.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9.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9.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9.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9.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9.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9.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9.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9.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9.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9.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9.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9.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9.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9.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9.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9.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9.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9.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9.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9.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9.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9.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9.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9.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9.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9.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9.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9.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9.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9.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9.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9.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9.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9.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9.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9.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9.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9.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9.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9.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9.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9.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9.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9.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9.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9.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9.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9.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9.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9.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9.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9.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9.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9.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9.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9.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9.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9.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9.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9.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9.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9.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9.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9.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9.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9.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9.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9.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9.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9.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9.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9.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9.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9.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9.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9.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9.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9.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9.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9.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9.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9.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9.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9.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9.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9.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9.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9.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9.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9.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9.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9.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9.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9.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9.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9.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9.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9.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9.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9.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9.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9.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9.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9.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9.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9.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9.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9.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9.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9.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9.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9.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9.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9.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9.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9.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9.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9.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9.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9.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9.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9.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9.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9.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9.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9.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9.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9.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9.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9.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9.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9.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9.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9.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9.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9.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9.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9.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9.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9.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9.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9.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9.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9.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9.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9.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9.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9.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9.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9.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9.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9.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9.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9.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9.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9.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9.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9.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9.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9.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9.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9.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9.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9.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9.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9.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9.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9.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9.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9.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9.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9.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9.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9.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9.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9.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9.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9.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9.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9.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9.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9.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9.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9.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9.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9.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9.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9.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9.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9.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9.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9.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9.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9.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9.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9.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9.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9.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9.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9.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9.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9.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9.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9.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9.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9.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9.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9.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9.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9.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9.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9.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9.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9.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9.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9.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9.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9.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9.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9.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9.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9.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9.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9.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9.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9.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9.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9.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9.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9.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9.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9.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9.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9.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9.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9.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9.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9.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9.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9.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9.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9.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9.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9.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9.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9.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9.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9.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9.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9.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9.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9.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9.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9.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9.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9.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9.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9.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9.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9.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9.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9.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9.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9.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9.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9.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9.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9.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9.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9.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9.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9.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9.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9.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9.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9.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9.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9.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9.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9.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9.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9.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9.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9.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9.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9.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9.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9.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9.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9.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9.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9.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9.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9.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9.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9.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9.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9.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9.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9.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9.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9.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9.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9.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9.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9.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9.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9.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9.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9.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9.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9.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9.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9.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9.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9.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9.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9.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9.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9.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9.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9.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9.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9.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9.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9.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9.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9.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9.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9.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9.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9.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9.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9.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9.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9.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9.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9.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9.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9.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9.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9.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9.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9.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9.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9.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9.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9.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9.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9.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9.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9.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9.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9.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9.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9.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9.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9.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9.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9.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9.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9.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9.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9.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9.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9.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9.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9.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9.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9.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9.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9.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9.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9.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9.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9.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9.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9.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9.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9.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9.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9.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9.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9.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9.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9.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9.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9.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9.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9.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9.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9.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9.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9.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9.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9.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9.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9.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9.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9.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9.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9.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9.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9.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9.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9.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9.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9.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9.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9.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9.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9.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9.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9.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9.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9.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9.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9.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9.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9.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9.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9.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9.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9.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9.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9.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9.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9.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9.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9.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9.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9.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9.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9.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9.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9.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9.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9.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9.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9.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9.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9.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9.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9.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9.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9.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9.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9.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9.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9.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9.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9.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9.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9.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9.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9.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9.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9.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9.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9.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9.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9.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9.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9.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9.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9.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9.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9.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9.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9.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9.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9.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9.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9.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9.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9.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9.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9.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9.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9.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9.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9.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9.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9.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9.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9.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9.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9.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9.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9.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9.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9.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9.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9.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9.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9.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9.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9.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9.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9.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9.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9.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9.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9.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9.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9.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9.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9.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9.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9.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9.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9.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9.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9.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9.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9.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9.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9.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9.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9.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9.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9.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9.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9.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9.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9.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9.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9.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9.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9.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9.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9.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9.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9.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9.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9.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9.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9.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9.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9.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9.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9.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9.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9.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9.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9.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9.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9.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9.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9.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9.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9.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9.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9.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9.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9.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9.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9.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9.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9.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9.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9.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9.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9.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9.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9.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9.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9.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9.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9.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9.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9.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9.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9.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9.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9.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9.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9.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9.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9.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9.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9.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9.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9.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9.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9.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9.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9.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9.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9.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9.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9.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9.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spans="1:26" ht="19.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spans="1:26" ht="19.5" customHeight="1">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spans="1:26" ht="19.5" customHeight="1">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spans="1:26" ht="19.5" customHeight="1">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sheetData>
  <mergeCells count="158">
    <mergeCell ref="A42:B42"/>
    <mergeCell ref="C42:D42"/>
    <mergeCell ref="E42:F42"/>
    <mergeCell ref="A43:B43"/>
    <mergeCell ref="C43:D43"/>
    <mergeCell ref="E43:F43"/>
    <mergeCell ref="A45:F45"/>
    <mergeCell ref="C49:D49"/>
    <mergeCell ref="C50:D50"/>
    <mergeCell ref="C46:D46"/>
    <mergeCell ref="E46:F46"/>
    <mergeCell ref="C47:D47"/>
    <mergeCell ref="E47:F47"/>
    <mergeCell ref="C48:D48"/>
    <mergeCell ref="E48:F48"/>
    <mergeCell ref="E49:F49"/>
    <mergeCell ref="A102:B102"/>
    <mergeCell ref="C102:D102"/>
    <mergeCell ref="E102:F102"/>
    <mergeCell ref="A95:C95"/>
    <mergeCell ref="E95:F95"/>
    <mergeCell ref="A96:C96"/>
    <mergeCell ref="E96:F96"/>
    <mergeCell ref="A97:C97"/>
    <mergeCell ref="E97:F97"/>
    <mergeCell ref="E98:F98"/>
    <mergeCell ref="A91:C91"/>
    <mergeCell ref="E91:F91"/>
    <mergeCell ref="A92:C92"/>
    <mergeCell ref="E92:F92"/>
    <mergeCell ref="A94:F94"/>
    <mergeCell ref="A98:C98"/>
    <mergeCell ref="A100:F100"/>
    <mergeCell ref="A101:B101"/>
    <mergeCell ref="C101:D101"/>
    <mergeCell ref="E101:F101"/>
    <mergeCell ref="B93:F93"/>
    <mergeCell ref="B99:F99"/>
    <mergeCell ref="E89:F89"/>
    <mergeCell ref="A85:C85"/>
    <mergeCell ref="E85:F85"/>
    <mergeCell ref="A86:F86"/>
    <mergeCell ref="A87:C87"/>
    <mergeCell ref="E87:F87"/>
    <mergeCell ref="A88:C88"/>
    <mergeCell ref="A89:C89"/>
    <mergeCell ref="A90:C90"/>
    <mergeCell ref="E90:F90"/>
    <mergeCell ref="A66:C66"/>
    <mergeCell ref="A74:D74"/>
    <mergeCell ref="A75:D75"/>
    <mergeCell ref="A76:D76"/>
    <mergeCell ref="A77:F77"/>
    <mergeCell ref="C78:F78"/>
    <mergeCell ref="A84:F84"/>
    <mergeCell ref="E88:F88"/>
    <mergeCell ref="A67:C67"/>
    <mergeCell ref="A68:C68"/>
    <mergeCell ref="A69:C69"/>
    <mergeCell ref="A70:C70"/>
    <mergeCell ref="A71:C71"/>
    <mergeCell ref="A72:C72"/>
    <mergeCell ref="A73:C73"/>
    <mergeCell ref="A78:B78"/>
    <mergeCell ref="A79:B79"/>
    <mergeCell ref="A62:E62"/>
    <mergeCell ref="A63:F63"/>
    <mergeCell ref="A64:C65"/>
    <mergeCell ref="D64:D65"/>
    <mergeCell ref="E64:F64"/>
    <mergeCell ref="A54:B54"/>
    <mergeCell ref="A57:B58"/>
    <mergeCell ref="A44:B44"/>
    <mergeCell ref="A46:B46"/>
    <mergeCell ref="A47:B47"/>
    <mergeCell ref="A48:B48"/>
    <mergeCell ref="A49:B49"/>
    <mergeCell ref="A50:B50"/>
    <mergeCell ref="A51:B51"/>
    <mergeCell ref="C51:D51"/>
    <mergeCell ref="C52:D52"/>
    <mergeCell ref="C53:D53"/>
    <mergeCell ref="C54:D54"/>
    <mergeCell ref="C57:C58"/>
    <mergeCell ref="E54:F54"/>
    <mergeCell ref="A55:F55"/>
    <mergeCell ref="A56:F56"/>
    <mergeCell ref="D57:F57"/>
    <mergeCell ref="A36:B36"/>
    <mergeCell ref="C36:D36"/>
    <mergeCell ref="E36:F36"/>
    <mergeCell ref="A37:B37"/>
    <mergeCell ref="C37:D37"/>
    <mergeCell ref="E37:F37"/>
    <mergeCell ref="A38:F38"/>
    <mergeCell ref="A52:B52"/>
    <mergeCell ref="A53:B53"/>
    <mergeCell ref="E50:F50"/>
    <mergeCell ref="E51:F51"/>
    <mergeCell ref="E52:F52"/>
    <mergeCell ref="E53:F53"/>
    <mergeCell ref="C41:D41"/>
    <mergeCell ref="E41:F41"/>
    <mergeCell ref="A39:B39"/>
    <mergeCell ref="C39:D39"/>
    <mergeCell ref="E39:F39"/>
    <mergeCell ref="A40:B40"/>
    <mergeCell ref="C40:D40"/>
    <mergeCell ref="E40:F40"/>
    <mergeCell ref="A41:B41"/>
    <mergeCell ref="C44:D44"/>
    <mergeCell ref="E44:F44"/>
    <mergeCell ref="A28:B28"/>
    <mergeCell ref="C28:D28"/>
    <mergeCell ref="E28:F28"/>
    <mergeCell ref="A29:B29"/>
    <mergeCell ref="C29:D29"/>
    <mergeCell ref="E29:F29"/>
    <mergeCell ref="C32:D32"/>
    <mergeCell ref="E32:F32"/>
    <mergeCell ref="A30:B30"/>
    <mergeCell ref="C30:D30"/>
    <mergeCell ref="E30:F30"/>
    <mergeCell ref="A31:B31"/>
    <mergeCell ref="C31:D31"/>
    <mergeCell ref="E31:F31"/>
    <mergeCell ref="A32:B32"/>
    <mergeCell ref="A20:B20"/>
    <mergeCell ref="A21:F22"/>
    <mergeCell ref="A23:F23"/>
    <mergeCell ref="A25:B25"/>
    <mergeCell ref="C25:D25"/>
    <mergeCell ref="E25:F25"/>
    <mergeCell ref="A26:F26"/>
    <mergeCell ref="C27:D27"/>
    <mergeCell ref="E27:F27"/>
    <mergeCell ref="A27:B27"/>
    <mergeCell ref="A24:F24"/>
    <mergeCell ref="A1:F1"/>
    <mergeCell ref="A2:F2"/>
    <mergeCell ref="D3:F3"/>
    <mergeCell ref="D4:F4"/>
    <mergeCell ref="A9:F9"/>
    <mergeCell ref="A10:F10"/>
    <mergeCell ref="A11:B11"/>
    <mergeCell ref="C11:D11"/>
    <mergeCell ref="E11:F11"/>
    <mergeCell ref="D7:F7"/>
    <mergeCell ref="D8:F8"/>
    <mergeCell ref="C35:D35"/>
    <mergeCell ref="E35:F35"/>
    <mergeCell ref="A33:B33"/>
    <mergeCell ref="C33:D33"/>
    <mergeCell ref="E33:F33"/>
    <mergeCell ref="A34:B34"/>
    <mergeCell ref="C34:D34"/>
    <mergeCell ref="E34:F34"/>
    <mergeCell ref="A35:B35"/>
  </mergeCells>
  <dataValidations count="8">
    <dataValidation type="list" allowBlank="1" showErrorMessage="1" sqref="C12:C19 E12:E19" xr:uid="{00000000-0002-0000-0100-000000000000}">
      <formula1>"No Achievement,Partial Achievement,Substantial Achievement,Full Achievement"</formula1>
    </dataValidation>
    <dataValidation type="list" allowBlank="1" showErrorMessage="1" sqref="E46:E52 E27:E36 C39:C43 E39:E43 C27:C36 C46:C52" xr:uid="{00000000-0002-0000-0100-000001000000}">
      <formula1>"NA,1,1.5,2,2.5,3,3.5,4,4.5,5"</formula1>
    </dataValidation>
    <dataValidation type="list" allowBlank="1" showErrorMessage="1" sqref="C80:F83" xr:uid="{00000000-0002-0000-0100-000002000000}">
      <formula1>"Yes"</formula1>
    </dataValidation>
    <dataValidation type="list" allowBlank="1" showErrorMessage="1" sqref="E59:E61" xr:uid="{00000000-0002-0000-0100-000003000000}">
      <formula1>"Fully Resolved,Substantially Resolved,Partially Resolved,Not Resolved"</formula1>
    </dataValidation>
    <dataValidation type="list" allowBlank="1" showErrorMessage="1" sqref="D87:D92 D95:D98" xr:uid="{00000000-0002-0000-0100-000004000000}">
      <formula1>"Yes,No"</formula1>
    </dataValidation>
    <dataValidation type="list" allowBlank="1" showErrorMessage="1" sqref="B4" xr:uid="{00000000-0002-0000-0100-000005000000}">
      <formula1>$U$1:$U$17</formula1>
    </dataValidation>
    <dataValidation type="list" allowBlank="1" showInputMessage="1" showErrorMessage="1" sqref="B7" xr:uid="{00000000-0002-0000-0100-000006000000}">
      <formula1>$T$1:$T$6</formula1>
    </dataValidation>
    <dataValidation type="list" allowBlank="1" showInputMessage="1" showErrorMessage="1" sqref="F12:F19 D12:D19" xr:uid="{00000000-0002-0000-0100-000007000000}">
      <formula1>"0,1,2,3"</formula1>
    </dataValidation>
  </dataValidations>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Appraisal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Naeem Ahmed</dc:creator>
  <cp:lastModifiedBy>Zohan Ilahee</cp:lastModifiedBy>
  <dcterms:created xsi:type="dcterms:W3CDTF">2023-11-28T10:19:08Z</dcterms:created>
  <dcterms:modified xsi:type="dcterms:W3CDTF">2026-06-17T06:01:45Z</dcterms:modified>
</cp:coreProperties>
</file>